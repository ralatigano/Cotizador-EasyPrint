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tables/table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aca2b84a53c7f3b3/Documents/Proyectos/Cotizador EasyPrint/"/>
    </mc:Choice>
  </mc:AlternateContent>
  <xr:revisionPtr revIDLastSave="26" documentId="13_ncr:1_{CE5BB67F-46C8-48E7-9477-BED9B08A1AB9}" xr6:coauthVersionLast="47" xr6:coauthVersionMax="47" xr10:uidLastSave="{D28FB3A8-EB05-43DA-85D5-E082D9136989}"/>
  <bookViews>
    <workbookView xWindow="-28920" yWindow="-120" windowWidth="29040" windowHeight="15840" activeTab="1" xr2:uid="{F45E9AC0-0F02-45D4-A673-31B666AF3D8F}"/>
  </bookViews>
  <sheets>
    <sheet name="Lista de Precios" sheetId="4" r:id="rId1"/>
    <sheet name="Pedidos" sheetId="2" r:id="rId2"/>
    <sheet name="Presupuestos" sheetId="6" r:id="rId3"/>
    <sheet name="Base de datos clientes" sheetId="7" r:id="rId4"/>
    <sheet name="Presupuesto" sheetId="3" r:id="rId5"/>
    <sheet name="Datos de logueo" sheetId="8" state="veryHidden" r:id="rId6"/>
  </sheets>
  <definedNames>
    <definedName name="_xlnm._FilterDatabase" localSheetId="2" hidden="1">Presupuestos!$A$1:$G$45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46" i="6" l="1"/>
  <c r="F144" i="6"/>
  <c r="F140" i="6"/>
  <c r="F137" i="6"/>
  <c r="F134" i="6"/>
  <c r="F130" i="6"/>
  <c r="F128" i="6"/>
  <c r="F123" i="6"/>
  <c r="F125" i="6" s="1"/>
  <c r="F119" i="2"/>
  <c r="F121" i="2" s="1"/>
  <c r="H121" i="2" s="1"/>
  <c r="F119" i="6"/>
  <c r="F115" i="2"/>
  <c r="H115" i="2" s="1"/>
  <c r="F117" i="6"/>
  <c r="H114" i="2"/>
  <c r="F115" i="6"/>
  <c r="F113" i="6"/>
  <c r="F99" i="6"/>
  <c r="F97" i="6"/>
  <c r="F95" i="6"/>
  <c r="F93" i="6"/>
  <c r="F90" i="6"/>
  <c r="F86" i="6"/>
  <c r="F88" i="6" s="1"/>
  <c r="F84" i="6"/>
  <c r="F82" i="6"/>
  <c r="F77" i="6"/>
  <c r="F79" i="6" s="1"/>
  <c r="F73" i="6"/>
  <c r="F75" i="6" s="1"/>
  <c r="F69" i="6"/>
  <c r="F71" i="6" s="1"/>
  <c r="F62" i="6"/>
  <c r="F64" i="6" s="1"/>
  <c r="F56" i="6"/>
  <c r="F58" i="6" s="1"/>
  <c r="F53" i="6"/>
  <c r="F50" i="6"/>
  <c r="F47" i="6"/>
  <c r="F45" i="6"/>
  <c r="F43" i="6"/>
  <c r="F40" i="6"/>
  <c r="F38" i="6"/>
  <c r="F36" i="6"/>
  <c r="F34" i="6"/>
  <c r="F29" i="6"/>
  <c r="F27" i="6"/>
  <c r="F25" i="6"/>
  <c r="F23" i="6"/>
  <c r="F19" i="6"/>
  <c r="F15" i="6"/>
  <c r="F11" i="6"/>
  <c r="F8" i="6"/>
  <c r="F4" i="6"/>
  <c r="F112" i="2"/>
  <c r="H112" i="2" s="1"/>
  <c r="F108" i="2"/>
  <c r="H108" i="2" s="1"/>
  <c r="F106" i="2"/>
  <c r="H106" i="2" s="1"/>
  <c r="F104" i="2"/>
  <c r="H104" i="2" s="1"/>
  <c r="F102" i="2"/>
  <c r="H102" i="2" s="1"/>
  <c r="F100" i="2"/>
  <c r="H100" i="2" s="1"/>
  <c r="F98" i="2"/>
  <c r="H98" i="2" s="1"/>
  <c r="F96" i="2"/>
  <c r="H96" i="2" s="1"/>
  <c r="F94" i="2"/>
  <c r="H94" i="2" s="1"/>
  <c r="F91" i="2"/>
  <c r="H91" i="2" s="1"/>
  <c r="F89" i="2"/>
  <c r="H89" i="2" s="1"/>
  <c r="F87" i="2"/>
  <c r="H87" i="2" s="1"/>
  <c r="F83" i="2"/>
  <c r="H83" i="2" s="1"/>
  <c r="F80" i="2"/>
  <c r="H80" i="2" s="1"/>
  <c r="F75" i="2"/>
  <c r="H75" i="2" s="1"/>
  <c r="F70" i="2"/>
  <c r="H70" i="2" s="1"/>
  <c r="F67" i="2"/>
  <c r="H67" i="2" s="1"/>
  <c r="F63" i="2"/>
  <c r="H63" i="2" s="1"/>
  <c r="F60" i="2"/>
  <c r="H60" i="2" s="1"/>
  <c r="F57" i="2"/>
  <c r="H57" i="2" s="1"/>
  <c r="F53" i="2"/>
  <c r="H53" i="2" s="1"/>
  <c r="F45" i="2"/>
  <c r="H45" i="2" s="1"/>
  <c r="F39" i="2"/>
  <c r="H39" i="2" s="1"/>
  <c r="F35" i="2"/>
  <c r="H35" i="2" s="1"/>
  <c r="F25" i="2"/>
  <c r="H25" i="2" s="1"/>
  <c r="F16" i="2"/>
  <c r="H16" i="2" s="1"/>
  <c r="F11" i="2"/>
  <c r="H11" i="2" s="1"/>
  <c r="F6" i="2"/>
  <c r="H6" i="2" s="1"/>
  <c r="G137" i="4"/>
  <c r="F136" i="4"/>
  <c r="G136" i="4" s="1"/>
</calcChain>
</file>

<file path=xl/sharedStrings.xml><?xml version="1.0" encoding="utf-8"?>
<sst xmlns="http://schemas.openxmlformats.org/spreadsheetml/2006/main" count="1202" uniqueCount="342">
  <si>
    <t>Ganancia</t>
  </si>
  <si>
    <t>Fecha pedido</t>
  </si>
  <si>
    <t>Cliente</t>
  </si>
  <si>
    <t>Red</t>
  </si>
  <si>
    <t>Seña</t>
  </si>
  <si>
    <t>Total</t>
  </si>
  <si>
    <t>Diferencia</t>
  </si>
  <si>
    <t>Fecha entrega</t>
  </si>
  <si>
    <t>Descrip. Producto</t>
  </si>
  <si>
    <t>Impresión en papel 90g simple faz</t>
  </si>
  <si>
    <t>Impresión en papel 90g doble faz</t>
  </si>
  <si>
    <t>Impresión en papel 200g simple faz</t>
  </si>
  <si>
    <t>Impresión en papel 350g simple faz</t>
  </si>
  <si>
    <t>Impresión en papel 350g doble faz</t>
  </si>
  <si>
    <t>Código</t>
  </si>
  <si>
    <t>Impresión en papel 200g doble faz</t>
  </si>
  <si>
    <t>Vinilo impreso</t>
  </si>
  <si>
    <t>Vinilo impreso y troquelado</t>
  </si>
  <si>
    <t>Lona impresa</t>
  </si>
  <si>
    <t>Lona impresa con estructura</t>
  </si>
  <si>
    <t>Pedido</t>
  </si>
  <si>
    <t>Lona impresa con bolsillos s/ estructura</t>
  </si>
  <si>
    <t>Lona impresa con bolsillos c/ estructura</t>
  </si>
  <si>
    <t>VT</t>
  </si>
  <si>
    <t>lona con estructura 1m2</t>
  </si>
  <si>
    <t>vinilo y lona m2</t>
  </si>
  <si>
    <t>TOTAL =</t>
  </si>
  <si>
    <t>Descripción</t>
  </si>
  <si>
    <t>Presupuesto</t>
  </si>
  <si>
    <t xml:space="preserve">Agustin </t>
  </si>
  <si>
    <t>Whatsapp</t>
  </si>
  <si>
    <t>folletos. Impresión en papel 90g simple faz x 1000 (Dimensiones: 10cm x 10cm)</t>
  </si>
  <si>
    <t>folletos. Impresión en papel 90g doble faz x 1000 (Dimensiones: 10cm x 10cm)</t>
  </si>
  <si>
    <t>folletos. Impresión en papel 90g simple faz x 1000 (Dimensiones: 12cm x 8cm)</t>
  </si>
  <si>
    <t>folletos. Impresión en papel 90g doble faz x 1000 (Dimensiones: 12cm x 8cm)</t>
  </si>
  <si>
    <t>Cecilia</t>
  </si>
  <si>
    <t>Instagram</t>
  </si>
  <si>
    <t>Folletos. Impresión en papel 90g simple faz x 500 (Dimensiones: 20cm x 15cm)</t>
  </si>
  <si>
    <t>Folletos. Impresión en papel 90g simple faz x 1000 (Dimensiones: 20cm x 15cm)</t>
  </si>
  <si>
    <t>Folletos. Impresión en papel 90g simple faz x 3000 (Dimensiones: 20cm x 15cm)</t>
  </si>
  <si>
    <t>Folletos. Impresión en papel 90g simple faz x 5000 (Dimensiones: 20cm x 15cm)</t>
  </si>
  <si>
    <t>Laura</t>
  </si>
  <si>
    <t>. Impresión en papel 350g simple faz x 100 (Dimensiones: 5cm x 8cm)</t>
  </si>
  <si>
    <t>. Impresión en papel 350g doble faz x 100 (Dimensiones: 5cm x 8cm)</t>
  </si>
  <si>
    <t>. Impresión en papel 350g simple faz x 100 (Dimensiones: 15cm x 10cm)</t>
  </si>
  <si>
    <t>. Impresión en papel 350g doble faz x 100 (Dimensiones: 15cm x 10cm)</t>
  </si>
  <si>
    <t>Cantidad</t>
  </si>
  <si>
    <t>Impresión en papel ByN 80g simple faz</t>
  </si>
  <si>
    <t>Impresión en papel ByN 80g doble faz</t>
  </si>
  <si>
    <t>Impresión en papel ByN 90g simple faz</t>
  </si>
  <si>
    <t>Impresión en papel ByN 90g doble faz</t>
  </si>
  <si>
    <t>Impresión en papel ByN 120g simple faz</t>
  </si>
  <si>
    <t>Impresión en papel ByN 120g doble faz</t>
  </si>
  <si>
    <t>Impresión en papel ByN 150g simple faz</t>
  </si>
  <si>
    <t>Impresión en papel ByN 150g doble faz</t>
  </si>
  <si>
    <t>Impresión en papel ByN 180g simple faz</t>
  </si>
  <si>
    <t>Impresión en papel ByN 180g doble faz</t>
  </si>
  <si>
    <t>Impresión en papel ByN 240g simple faz</t>
  </si>
  <si>
    <t>Impresión en papel ByN 240g doble faz</t>
  </si>
  <si>
    <t>Fer Quimera</t>
  </si>
  <si>
    <t>.Impresión en papel 90g simple faz</t>
  </si>
  <si>
    <t>.Impresión en papel 90g doble faz</t>
  </si>
  <si>
    <t>.Impresión en papel 200g simple faz</t>
  </si>
  <si>
    <t>.Impresión en papel 200g doble faz</t>
  </si>
  <si>
    <t>Marce de Leon Vidrios</t>
  </si>
  <si>
    <t>Calendarios A4.Impresión en papel 350g simple faz</t>
  </si>
  <si>
    <t>Calendarios Grandes A3 (31*46cm).Impresión en papel 350g simple faz</t>
  </si>
  <si>
    <t>Tarjetas Personales Doble faz.Impresión en papel 350g doble faz</t>
  </si>
  <si>
    <t>Tarjetas Personales Doble faz.Impresión en papel 350g simple faz</t>
  </si>
  <si>
    <t>Meipa</t>
  </si>
  <si>
    <t>Calendarios.Impresión en papel 90g simple faz</t>
  </si>
  <si>
    <t>Calendarios.Impresión en papel 200g simple faz</t>
  </si>
  <si>
    <t>Calendarios.Impresión en papel 350g simple faz</t>
  </si>
  <si>
    <t>Belen Oviedo. Dentis</t>
  </si>
  <si>
    <t>Hojas Membretadas.Impresión en papel ByN 80g simple faz</t>
  </si>
  <si>
    <t>Turnero.Impresión en papel ByN 80g simple faz</t>
  </si>
  <si>
    <t>Recetarios, 1/4 oficio.Impresión en papel ByN 80g simple faz</t>
  </si>
  <si>
    <t>Tarjetas Personales.Impresión en papel 350g doble faz</t>
  </si>
  <si>
    <t>Carpetas con solapa.Impresión en papel 350g simple faz</t>
  </si>
  <si>
    <t>Hojas Membretadas.Impresión en papel color 80g simple faz</t>
  </si>
  <si>
    <t>Denise protein club</t>
  </si>
  <si>
    <t>.Vinilo impreso y troquelado</t>
  </si>
  <si>
    <t>Flavia Academia</t>
  </si>
  <si>
    <t>Certificados A4.Impresión en papel 350g simple faz</t>
  </si>
  <si>
    <t>Entradas.Impresión en papel 350g simple faz</t>
  </si>
  <si>
    <t>Fotos teatro.Impresión en papel 90g simple faz</t>
  </si>
  <si>
    <t>Colegio de nutricionistas</t>
  </si>
  <si>
    <t>Folletos Bifaza color.Impresión en papel 90g doble faz</t>
  </si>
  <si>
    <t>Alfonsina</t>
  </si>
  <si>
    <t>Pankracia</t>
  </si>
  <si>
    <t>Sticker.Vinilo impreso y troquelado</t>
  </si>
  <si>
    <t>Folletos simple faz.Impresión en papel 90g simple faz</t>
  </si>
  <si>
    <t>Elizabeth Productos Marisa</t>
  </si>
  <si>
    <t>Calendarios de bolsillo.Impresión en papel 350g doble faz</t>
  </si>
  <si>
    <t>KOVA</t>
  </si>
  <si>
    <t>Stickers.Vinilo impreso y troquelado</t>
  </si>
  <si>
    <t>Nombre</t>
  </si>
  <si>
    <t>Contacto</t>
  </si>
  <si>
    <t>Rubro</t>
  </si>
  <si>
    <t>Fecha presupuesto</t>
  </si>
  <si>
    <t>sdfgh</t>
  </si>
  <si>
    <t>fghj</t>
  </si>
  <si>
    <t/>
  </si>
  <si>
    <t>https://www.bna.com.ar/Personas</t>
  </si>
  <si>
    <t>p/ chequear el valor del dólar</t>
  </si>
  <si>
    <t>Valor del dólar 28/5/2022</t>
  </si>
  <si>
    <t>Precio en $</t>
  </si>
  <si>
    <t>Impresión en papel 300g doble faz</t>
  </si>
  <si>
    <t>Impresión en papel 115g doble faz</t>
  </si>
  <si>
    <t>Impresión en papel 150g doble faz</t>
  </si>
  <si>
    <t>Impresión en papel 115g simple faz</t>
  </si>
  <si>
    <t>Impresión en papel 150g simple faz</t>
  </si>
  <si>
    <t>Impresión en papel 300g simple faz</t>
  </si>
  <si>
    <t>Vinilo transparente</t>
  </si>
  <si>
    <t>Banner estandar c/ doble tensor</t>
  </si>
  <si>
    <t>Autoadhesivo blanco brillante</t>
  </si>
  <si>
    <t>Pulseras</t>
  </si>
  <si>
    <t>Alex medina</t>
  </si>
  <si>
    <t>cuaderno.Impresión en papel 150g simple faz</t>
  </si>
  <si>
    <t>Persona</t>
  </si>
  <si>
    <t xml:space="preserve">Mariana Ziztke </t>
  </si>
  <si>
    <t>Agenda.Impresión en papel 150g simple faz+ laminado</t>
  </si>
  <si>
    <t>Profesional</t>
  </si>
  <si>
    <t>Belu san roman</t>
  </si>
  <si>
    <t>Gastronomico- Bombones</t>
  </si>
  <si>
    <t>Josefina Gigorlas consentidos</t>
  </si>
  <si>
    <t>etiquetas.Impresión en papel 350g simple faz</t>
  </si>
  <si>
    <t>Ropa infantil</t>
  </si>
  <si>
    <t>Colegio de nutricion. claudia</t>
  </si>
  <si>
    <t>Carpetas A4.Impresión en papel 350g simple faz</t>
  </si>
  <si>
    <t>Profesionales. nutricion</t>
  </si>
  <si>
    <t>Ines endocronologa</t>
  </si>
  <si>
    <t>Folletos BYN.Impresión en papel ByN 80g simple faz</t>
  </si>
  <si>
    <t>Profesional. Endocrinologa</t>
  </si>
  <si>
    <t>Rocio Moroci</t>
  </si>
  <si>
    <t>Etiquetas.Impresión en papel 350g simple faz</t>
  </si>
  <si>
    <t>VIKO</t>
  </si>
  <si>
    <t>Accesorios</t>
  </si>
  <si>
    <t xml:space="preserve">Matias Orte Cafayate </t>
  </si>
  <si>
    <t>Cartel de hierro y letras corporeas.Lona impresa con bolsillos c/ estructura</t>
  </si>
  <si>
    <t>salud consultorios</t>
  </si>
  <si>
    <t>Crsitina Ita</t>
  </si>
  <si>
    <t>Stickers con forma.Vinilo impreso y troquelado</t>
  </si>
  <si>
    <t>Cosmetica</t>
  </si>
  <si>
    <t>6/6/+F88+A+A88:G106</t>
  </si>
  <si>
    <t>Gafe</t>
  </si>
  <si>
    <t xml:space="preserve">Denise </t>
  </si>
  <si>
    <t>Stickers 7*7cm logo y flan.Vinilo impreso y troquelado</t>
  </si>
  <si>
    <t>Stickers 10*10cm panqueques.Vinilo impreso y troquelado</t>
  </si>
  <si>
    <t>ss</t>
  </si>
  <si>
    <t>Folletos mini 5*9cm bifaz un lado a color uno simple.Impresión en papel 115g doble faz</t>
  </si>
  <si>
    <t>Academia Flavia</t>
  </si>
  <si>
    <t>Alfonfit</t>
  </si>
  <si>
    <t>Stickers 3.5x5cm.Vinilo impreso y troquelado</t>
  </si>
  <si>
    <t>Stickers 8*10cm.Vinilo impreso y troquelado</t>
  </si>
  <si>
    <t>Agustina</t>
  </si>
  <si>
    <t>Stickers 4x4cm.Vinilo impreso y troquelado</t>
  </si>
  <si>
    <t>Hugo Calvo</t>
  </si>
  <si>
    <t>Calcos 35*35cm.Vinilo impreso y troquelado</t>
  </si>
  <si>
    <t>Vinilo impreso con corte de 35*35cm.Vinilo impreso y troquelado</t>
  </si>
  <si>
    <t>Col. de nutricion</t>
  </si>
  <si>
    <t>Folletos simple faz A5.Impresión en papel 90g simple faz</t>
  </si>
  <si>
    <t>Calmate</t>
  </si>
  <si>
    <t>tarjeta chiquita: 7cm alto x 9cm ancho.Impresión en papel 200g simple faz</t>
  </si>
  <si>
    <t>tarjeta chiquita: 7cm alto x 9cm ancho.Impresión en papel 350g simple faz</t>
  </si>
  <si>
    <t>Tarjeta "como curar": 13cm alto x 9cm ancho.Impresión en papel 200g simple faz</t>
  </si>
  <si>
    <t>Tarjeta "como curar": 13cm alto x 9cm ancho.Impresión en papel 350g simple faz</t>
  </si>
  <si>
    <t>Abastecedora del Valle</t>
  </si>
  <si>
    <t>Folletos A5 simple faz.Impresión en papel 115g simple faz</t>
  </si>
  <si>
    <t>Belen Aparicio</t>
  </si>
  <si>
    <t>Recetarios simple faz, color, mitad de A4.Impresión en papel ByN 80g simple faz</t>
  </si>
  <si>
    <t>Agustina Stele</t>
  </si>
  <si>
    <t>Stickers cierra bolsas 3.5*9cm.Vinilo impreso y troquelado</t>
  </si>
  <si>
    <t>Amigo de Ara Megevand</t>
  </si>
  <si>
    <t>Afiches A3.Impresión en papel 90g simple faz</t>
  </si>
  <si>
    <t>Afiche de calle gran formato 100*70cm.Impresión en papel 350g doble faz</t>
  </si>
  <si>
    <t>Carla Zamar- Patinaje</t>
  </si>
  <si>
    <t>certificados.Impresión en papel 150g simple faz. tamaño A5 (mitad de A4).Impresión en papel 150g simple faz</t>
  </si>
  <si>
    <t xml:space="preserve">Precio total </t>
  </si>
  <si>
    <t>Luis Wonderful costums</t>
  </si>
  <si>
    <t>2236920209</t>
  </si>
  <si>
    <t>sublimacion</t>
  </si>
  <si>
    <t>Recibos de presupuesto 10x10cm simple faz con agregado de su logo, fecha, cantidad, descripcion, precio unitario y total. contactos del cliente y envio.Impresión en papel ByN 80g simple faz</t>
  </si>
  <si>
    <t>llll</t>
  </si>
  <si>
    <t>lona.Lona impresa</t>
  </si>
  <si>
    <t>Sr/Sra:</t>
  </si>
  <si>
    <t>Papel obra tamaño oficio de 75g simple faz byn</t>
  </si>
  <si>
    <t>Papel obra tamaño oficio de 75g doble faz byn</t>
  </si>
  <si>
    <t>Papel obra tamaño oficio de 75g simple faz color</t>
  </si>
  <si>
    <t>Papel obra tamaño oficio de 75g doble faz color</t>
  </si>
  <si>
    <t>Papel obra tamaño A4 80g simple faz byn</t>
  </si>
  <si>
    <t>Papel obra tamaño A4 80g doble faz color</t>
  </si>
  <si>
    <t>Papel obra tamaño A4 80g doble faz byn</t>
  </si>
  <si>
    <t>Papel obra tamaño A4 80g simple faz color</t>
  </si>
  <si>
    <t>Encolado</t>
  </si>
  <si>
    <t>Corte</t>
  </si>
  <si>
    <t>Papel kraft 200g simple faz</t>
  </si>
  <si>
    <t>Papel kraft 200g doble faz</t>
  </si>
  <si>
    <t>Ramiro</t>
  </si>
  <si>
    <t>Impresiones.Papel obra tamaño A4 80g simple faz byn</t>
  </si>
  <si>
    <t>.Papel obra tamaño oficio de 75g simple faz byn</t>
  </si>
  <si>
    <t>SUBTOTAL:</t>
  </si>
  <si>
    <t>Descuento POTENCIA 20%</t>
  </si>
  <si>
    <t>Clave 1.Papel obra tamaño A4 80g simple faz byn + 1 Servicio/s de corte</t>
  </si>
  <si>
    <t>Clave 1.Papel obra tamaño A4 80g simple faz color</t>
  </si>
  <si>
    <t>.Papel obra tamaño A4 80g simple faz byn</t>
  </si>
  <si>
    <t>Descuento sfdfghjk 20%</t>
  </si>
  <si>
    <t>asdfsgdhjuj.Papel obra tamaño A4 80g simple faz byn</t>
  </si>
  <si>
    <t>asdfsgdhjuj.Papel obra tamaño A4 80g simple faz byn + 1 Servicio/s de encolado + 1 Servicio/s de corte</t>
  </si>
  <si>
    <t>Gaby doro cookies</t>
  </si>
  <si>
    <t>Stickers 5*3cm.Vinilo impreso y troquelado</t>
  </si>
  <si>
    <t>Descuento Cliente frecuente 20%</t>
  </si>
  <si>
    <t>Stickers en vinilo de 5*3cm.Vinilo impreso y troquelado</t>
  </si>
  <si>
    <t>Descuento Cliente frecuente 30%</t>
  </si>
  <si>
    <t>Bello Express</t>
  </si>
  <si>
    <t>Lamina de Guemes .Impresión en papel 150g simple faz</t>
  </si>
  <si>
    <t>Lamina de Guemes .Impresión en papel 200g simple faz</t>
  </si>
  <si>
    <t>Rita medicina</t>
  </si>
  <si>
    <t>Vinilo esmerilado 40*180cm.Vinilo transparente</t>
  </si>
  <si>
    <t>Daniela Taboada</t>
  </si>
  <si>
    <t>.Papel obra tamaño oficio de 75g simple faz color + 1 Servicio/s de corte + 1 Servicio/s de encolado</t>
  </si>
  <si>
    <t>Descuento Col de nutricion 20%</t>
  </si>
  <si>
    <t>Libera tu voz</t>
  </si>
  <si>
    <t>sobres tipo cajita.Impresión en papel 150g doble faz</t>
  </si>
  <si>
    <t>romi gonzalez</t>
  </si>
  <si>
    <t>.Impresión en papel 115g simple faz + 1 Servicio/s de corte</t>
  </si>
  <si>
    <t>.Papel obra tamaño A4 80g doble faz byn + 1 Servicio/s de corte</t>
  </si>
  <si>
    <t>Rocio Silva</t>
  </si>
  <si>
    <t>Turneros 5*9cm .Papel obra tamaño A4 80g simple faz color + 1 Servicio/s de corte</t>
  </si>
  <si>
    <t>Planeta Puna</t>
  </si>
  <si>
    <t>impresionenes de planillas con anillado.Papel obra tamaño A4 80g doble faz byn</t>
  </si>
  <si>
    <t>estela SYN</t>
  </si>
  <si>
    <t>etiquetas doble faz talle, precio efect, precio con tarjeta.Impresión en papel ByN 240g doble faz</t>
  </si>
  <si>
    <t>Daiana</t>
  </si>
  <si>
    <t>Banderin 3 hojas .Impresión en papel 300g simple faz</t>
  </si>
  <si>
    <t>Toppers circulos decoratio 6cm 1 hoja de cada uno.Impresión en papel ByN 180g simple faz</t>
  </si>
  <si>
    <t>Kit souveninr 3 hojas .Impresión en papel 300g simple faz</t>
  </si>
  <si>
    <t>Kit souveninr hojas verticales 9 x hoja imprimir 2 hojas.Impresión en papel 300g simple faz</t>
  </si>
  <si>
    <t>circulo deocrativo de 4cm 2 hojas en adhesivo.Autoadhesivo blanco brillante</t>
  </si>
  <si>
    <t>bienvenisod en A3 afiche.Impresión en papel 90g simple faz</t>
  </si>
  <si>
    <t>kit souvenir 9 x hoja agregar una hoja mas.Impresión en papel 300g simple faz</t>
  </si>
  <si>
    <t>envoltorio rodhesiva 4x hojas .Autoadhesivo blanco brillante</t>
  </si>
  <si>
    <t>envoltorio turron 4hojas.Autoadhesivo blanco brillante</t>
  </si>
  <si>
    <t>envoltorio chocolatin x 2 hojas.Autoadhesivo blanco brillante</t>
  </si>
  <si>
    <t>envoltorio marroc x 1 hoja.Autoadhesivo blanco brillante</t>
  </si>
  <si>
    <t>envoltorio tita x 3 hojas.Autoadhesivo blanco brillante</t>
  </si>
  <si>
    <t>tarjetas de invitacion x30 unidades.Impresión en papel ByN 180g simple faz</t>
  </si>
  <si>
    <t>Usuario</t>
  </si>
  <si>
    <t>Password</t>
  </si>
  <si>
    <t>Fernanda Abraham</t>
  </si>
  <si>
    <t>fabraham</t>
  </si>
  <si>
    <t>Valeria Contreras</t>
  </si>
  <si>
    <t>vcontreras</t>
  </si>
  <si>
    <t>Luis Cabrera</t>
  </si>
  <si>
    <t>lcabrera</t>
  </si>
  <si>
    <t>Ramiro Latigano</t>
  </si>
  <si>
    <t>rlatigano</t>
  </si>
  <si>
    <t>Correo electrónico</t>
  </si>
  <si>
    <t>Usuario Actual</t>
  </si>
  <si>
    <t>ramirolatigano@gmail.com</t>
  </si>
  <si>
    <t>Raesla</t>
  </si>
  <si>
    <t>Categoría</t>
  </si>
  <si>
    <t>Vinilo3</t>
  </si>
  <si>
    <t>Lona3</t>
  </si>
  <si>
    <t>Papel3</t>
  </si>
  <si>
    <t>Papel1</t>
  </si>
  <si>
    <t>Servicio de colocación de vinilo</t>
  </si>
  <si>
    <t>Confección de estructura portante de lona x m2</t>
  </si>
  <si>
    <t>Vendedor</t>
  </si>
  <si>
    <t>Dimensiones (a;l)</t>
  </si>
  <si>
    <t>31;46</t>
  </si>
  <si>
    <t>100;100</t>
  </si>
  <si>
    <t>100;134</t>
  </si>
  <si>
    <t>85;200</t>
  </si>
  <si>
    <t>90;190</t>
  </si>
  <si>
    <t>Cant. Min-Max</t>
  </si>
  <si>
    <t>1-29</t>
  </si>
  <si>
    <t>30-100</t>
  </si>
  <si>
    <t>100-inf</t>
  </si>
  <si>
    <t>1-inf</t>
  </si>
  <si>
    <t>Ramiro Prueba</t>
  </si>
  <si>
    <t>Visita Galería</t>
  </si>
  <si>
    <t>Tarjetas Personales.301+ laminado</t>
  </si>
  <si>
    <t>Nombre Prueba</t>
  </si>
  <si>
    <t>Tarjetas Personales.Impresión en papel 300g simple faz</t>
  </si>
  <si>
    <t>Contacto Prueba</t>
  </si>
  <si>
    <t>Laminado1</t>
  </si>
  <si>
    <t>Laminado2</t>
  </si>
  <si>
    <t>Laminado3</t>
  </si>
  <si>
    <t>Descuento Probando 20%</t>
  </si>
  <si>
    <t>Banner roll up (cuerpo de pvc y armado) tamaño 85x200cm</t>
  </si>
  <si>
    <t xml:space="preserve">x8 </t>
  </si>
  <si>
    <t>x10</t>
  </si>
  <si>
    <t>x2</t>
  </si>
  <si>
    <t>x3</t>
  </si>
  <si>
    <t>x4</t>
  </si>
  <si>
    <t>PMD3(FAC3001inf</t>
  </si>
  <si>
    <t>Papel mate de 300g (simple faz a color)</t>
  </si>
  <si>
    <t>Papel mate de 300g (DOBLE faz a color)</t>
  </si>
  <si>
    <t>PMD2(FAC2601inf</t>
  </si>
  <si>
    <t>Papel mate de 260g (simple faz a color)</t>
  </si>
  <si>
    <t>Papel mate de 260g (doble faz a color)</t>
  </si>
  <si>
    <t>PMD2(FAC2201inf</t>
  </si>
  <si>
    <t>Papel mate de 220g (simple faz a color)</t>
  </si>
  <si>
    <t>Papel mate de 220g (doble faz a color)</t>
  </si>
  <si>
    <t>PGFD1(FAC1151inf</t>
  </si>
  <si>
    <t>papel glossy foto de 115g (simple faz a color)</t>
  </si>
  <si>
    <t>papel glossy foto de 115g (doble faz a color)</t>
  </si>
  <si>
    <t>21;35</t>
  </si>
  <si>
    <t>21;30</t>
  </si>
  <si>
    <t>lucho.lc27@gmail.com</t>
  </si>
  <si>
    <t>valecontrerasespada95@gmail.com</t>
  </si>
  <si>
    <t>nandafer1318@gmail.com</t>
  </si>
  <si>
    <t>Fabiana Nuna</t>
  </si>
  <si>
    <t>Anotadores A5 tapa dura con 40 hojas rayadas  byn en el interior.Impresión en papel 350g doble faz</t>
  </si>
  <si>
    <t>Anotadores A5 tapa blanda en papel de 300g con 40 hojas rayadas  byn en el interior.Impresión en papel 350g doble faz</t>
  </si>
  <si>
    <t>10030114838</t>
  </si>
  <si>
    <t>Dra. Rita</t>
  </si>
  <si>
    <t>Recetarios 10*15cm simple faz byn .Impresión en papel ByN 80g simple faz</t>
  </si>
  <si>
    <t>10030114839</t>
  </si>
  <si>
    <t>Natalia Ivetich Fili</t>
  </si>
  <si>
    <t>Stickers 4.4cm .Vinilo impreso y troquelado</t>
  </si>
  <si>
    <t>10030114842</t>
  </si>
  <si>
    <t>De los rulos- Rosario</t>
  </si>
  <si>
    <t>gift cards.Impresión en papel 300g simple faz</t>
  </si>
  <si>
    <t>gift cards.Papel mate de 300g (simple faz a color)</t>
  </si>
  <si>
    <t>10030114844</t>
  </si>
  <si>
    <t>Patricia centro holistico</t>
  </si>
  <si>
    <t>vinilo microperforado con colocacion 1.30*1.08m x 2 paneles.Vinilo impreso y troquelado</t>
  </si>
  <si>
    <t>lonas de banner de 1.30*1m .Lona impresa</t>
  </si>
  <si>
    <t>10030114846</t>
  </si>
  <si>
    <t>Reinas</t>
  </si>
  <si>
    <t>Etiquetas5*9cm simple faz .Impresión en papel 200g simple faz</t>
  </si>
  <si>
    <t>Etiquetas5*9cm simple faz .Impresión en papel 300g simple faz</t>
  </si>
  <si>
    <t>Etiquetas5*9cm simple faz .Papel mate de 260g (simple faz a color)</t>
  </si>
  <si>
    <t>10030114849</t>
  </si>
  <si>
    <t>Camara Pymes</t>
  </si>
  <si>
    <t>Credenciales en papel ilustracion de 350g simple faz a color con .Impresión en papel 350g simple faz</t>
  </si>
  <si>
    <t>10030114850</t>
  </si>
  <si>
    <t>Cinta con mosqueton, sin personalizacion</t>
  </si>
  <si>
    <r>
      <t xml:space="preserve">Cinta </t>
    </r>
    <r>
      <rPr>
        <b/>
        <sz val="12"/>
        <color rgb="FF000000"/>
        <rFont val="Calibri Light"/>
        <family val="2"/>
        <scheme val="major"/>
      </rPr>
      <t xml:space="preserve">personalizada </t>
    </r>
    <r>
      <rPr>
        <sz val="12"/>
        <color rgb="FF000000"/>
        <rFont val="Calibri Light"/>
        <family val="2"/>
        <scheme val="major"/>
      </rPr>
      <t>con mosqueton</t>
    </r>
  </si>
  <si>
    <t>Credenciales en papel ilustracion de 350g simple faz con perforacion en la parte superior al centro. Sin sujetador de ningun tipo, solo la impresión en el papel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</si>
</sst>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&quot;$&quot;#,##0_);[Red]\(&quot;$&quot;#,##0\)"/>
    <numFmt numFmtId="165" formatCode="_(&quot;$&quot;* #,##0.00_);_(&quot;$&quot;* \(#,##0.00\);_(&quot;$&quot;* &quot;-&quot;??_);_(@_)"/>
    <numFmt numFmtId="166" formatCode="&quot;$&quot;#,##0.00"/>
    <numFmt numFmtId="167" formatCode="&quot;$&quot;\ #,##0.00"/>
    <numFmt numFmtId="168" formatCode="0.0"/>
  </numFmts>
  <fonts count="20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1"/>
      <color rgb="FFFF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2"/>
      <color rgb="FF222222"/>
      <name val="Calibri Light"/>
      <family val="2"/>
      <scheme val="major"/>
    </font>
    <font>
      <sz val="12"/>
      <color theme="1"/>
      <name val="Calibri Light"/>
      <family val="2"/>
      <scheme val="major"/>
    </font>
    <font>
      <u/>
      <sz val="12"/>
      <color theme="1"/>
      <name val="Calibri Light"/>
      <family val="2"/>
      <scheme val="major"/>
    </font>
    <font>
      <sz val="12"/>
      <name val="Calibri Light"/>
      <family val="2"/>
      <scheme val="major"/>
    </font>
    <font>
      <b/>
      <sz val="12"/>
      <name val="Calibri Light"/>
      <family val="2"/>
      <scheme val="major"/>
    </font>
    <font>
      <u/>
      <sz val="12"/>
      <name val="Calibri Light"/>
      <family val="2"/>
      <scheme val="major"/>
    </font>
    <font>
      <sz val="11"/>
      <name val="Calibri"/>
      <family val="2"/>
      <scheme val="minor"/>
    </font>
    <font>
      <sz val="12"/>
      <color rgb="FF000000"/>
      <name val="Calibri Light"/>
      <family val="2"/>
      <scheme val="major"/>
    </font>
    <font>
      <b/>
      <sz val="12"/>
      <color rgb="FF000000"/>
      <name val="Calibri Light"/>
      <family val="2"/>
      <scheme val="major"/>
    </font>
    <font>
      <sz val="12"/>
      <color rgb="FFFF0000"/>
      <name val="Calibri Light"/>
      <family val="2"/>
      <scheme val="major"/>
    </font>
  </fonts>
  <fills count="8">
    <fill>
      <patternFill patternType="none"/>
    </fill>
    <fill>
      <patternFill patternType="gray125"/>
    </fill>
    <fill>
      <patternFill patternType="solid">
        <fgColor rgb="FFE2EFDA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</fills>
  <borders count="16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dotted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6" fillId="0" borderId="0" applyNumberFormat="0" applyFill="0" applyBorder="0" applyAlignment="0" applyProtection="0"/>
    <xf numFmtId="165" fontId="7" fillId="0" borderId="0" applyFont="0" applyFill="0" applyBorder="0" applyAlignment="0" applyProtection="0"/>
  </cellStyleXfs>
  <cellXfs count="74">
    <xf numFmtId="0" fontId="0" fillId="0" borderId="0" xfId="0"/>
    <xf numFmtId="166" fontId="0" fillId="0" borderId="0" xfId="0" applyNumberFormat="1"/>
    <xf numFmtId="0" fontId="1" fillId="0" borderId="0" xfId="0" applyFont="1"/>
    <xf numFmtId="166" fontId="1" fillId="0" borderId="0" xfId="0" applyNumberFormat="1" applyFont="1"/>
    <xf numFmtId="14" fontId="0" fillId="0" borderId="0" xfId="0" applyNumberFormat="1"/>
    <xf numFmtId="166" fontId="3" fillId="2" borderId="1" xfId="0" applyNumberFormat="1" applyFont="1" applyFill="1" applyBorder="1"/>
    <xf numFmtId="14" fontId="3" fillId="2" borderId="1" xfId="0" applyNumberFormat="1" applyFont="1" applyFill="1" applyBorder="1"/>
    <xf numFmtId="0" fontId="3" fillId="2" borderId="12" xfId="0" applyFont="1" applyFill="1" applyBorder="1"/>
    <xf numFmtId="0" fontId="3" fillId="2" borderId="2" xfId="0" applyFont="1" applyFill="1" applyBorder="1"/>
    <xf numFmtId="0" fontId="0" fillId="3" borderId="11" xfId="0" applyFill="1" applyBorder="1"/>
    <xf numFmtId="0" fontId="0" fillId="3" borderId="5" xfId="0" applyFill="1" applyBorder="1"/>
    <xf numFmtId="0" fontId="0" fillId="3" borderId="6" xfId="0" applyFill="1" applyBorder="1"/>
    <xf numFmtId="0" fontId="0" fillId="3" borderId="0" xfId="0" applyFill="1"/>
    <xf numFmtId="0" fontId="0" fillId="3" borderId="7" xfId="0" applyFill="1" applyBorder="1"/>
    <xf numFmtId="0" fontId="0" fillId="3" borderId="8" xfId="0" applyFill="1" applyBorder="1"/>
    <xf numFmtId="0" fontId="0" fillId="3" borderId="9" xfId="0" applyFill="1" applyBorder="1"/>
    <xf numFmtId="0" fontId="0" fillId="3" borderId="10" xfId="0" applyFill="1" applyBorder="1"/>
    <xf numFmtId="0" fontId="0" fillId="4" borderId="3" xfId="0" applyFill="1" applyBorder="1"/>
    <xf numFmtId="0" fontId="0" fillId="4" borderId="4" xfId="0" applyFill="1" applyBorder="1"/>
    <xf numFmtId="0" fontId="0" fillId="4" borderId="5" xfId="0" applyFill="1" applyBorder="1"/>
    <xf numFmtId="0" fontId="0" fillId="4" borderId="6" xfId="0" applyFill="1" applyBorder="1"/>
    <xf numFmtId="0" fontId="0" fillId="4" borderId="0" xfId="0" applyFill="1"/>
    <xf numFmtId="0" fontId="0" fillId="4" borderId="7" xfId="0" applyFill="1" applyBorder="1"/>
    <xf numFmtId="0" fontId="2" fillId="4" borderId="0" xfId="0" applyFont="1" applyFill="1"/>
    <xf numFmtId="0" fontId="0" fillId="4" borderId="7" xfId="0" applyFill="1" applyBorder="1" applyAlignment="1">
      <alignment horizontal="center"/>
    </xf>
    <xf numFmtId="0" fontId="0" fillId="4" borderId="8" xfId="0" applyFill="1" applyBorder="1"/>
    <xf numFmtId="0" fontId="0" fillId="4" borderId="9" xfId="0" applyFill="1" applyBorder="1"/>
    <xf numFmtId="0" fontId="0" fillId="4" borderId="10" xfId="0" applyFill="1" applyBorder="1"/>
    <xf numFmtId="0" fontId="3" fillId="2" borderId="1" xfId="0" applyFont="1" applyFill="1" applyBorder="1"/>
    <xf numFmtId="0" fontId="2" fillId="6" borderId="0" xfId="0" applyFont="1" applyFill="1"/>
    <xf numFmtId="166" fontId="2" fillId="6" borderId="0" xfId="0" applyNumberFormat="1" applyFont="1" applyFill="1"/>
    <xf numFmtId="0" fontId="2" fillId="7" borderId="0" xfId="0" applyFont="1" applyFill="1"/>
    <xf numFmtId="166" fontId="2" fillId="7" borderId="0" xfId="0" applyNumberFormat="1" applyFont="1" applyFill="1"/>
    <xf numFmtId="0" fontId="4" fillId="5" borderId="0" xfId="0" applyFont="1" applyFill="1"/>
    <xf numFmtId="0" fontId="3" fillId="0" borderId="0" xfId="0" applyFont="1"/>
    <xf numFmtId="167" fontId="0" fillId="0" borderId="0" xfId="0" applyNumberFormat="1"/>
    <xf numFmtId="0" fontId="6" fillId="0" borderId="0" xfId="1"/>
    <xf numFmtId="0" fontId="5" fillId="0" borderId="0" xfId="0" applyFont="1"/>
    <xf numFmtId="0" fontId="3" fillId="4" borderId="14" xfId="0" applyFont="1" applyFill="1" applyBorder="1"/>
    <xf numFmtId="0" fontId="3" fillId="4" borderId="4" xfId="0" applyFont="1" applyFill="1" applyBorder="1"/>
    <xf numFmtId="0" fontId="3" fillId="4" borderId="5" xfId="0" applyFont="1" applyFill="1" applyBorder="1"/>
    <xf numFmtId="0" fontId="9" fillId="0" borderId="0" xfId="0" applyFont="1"/>
    <xf numFmtId="0" fontId="3" fillId="4" borderId="5" xfId="0" applyFont="1" applyFill="1" applyBorder="1" applyAlignment="1">
      <alignment horizontal="center" wrapText="1"/>
    </xf>
    <xf numFmtId="0" fontId="13" fillId="3" borderId="13" xfId="0" applyFont="1" applyFill="1" applyBorder="1" applyAlignment="1">
      <alignment horizontal="left" wrapText="1"/>
    </xf>
    <xf numFmtId="168" fontId="10" fillId="0" borderId="13" xfId="0" applyNumberFormat="1" applyFont="1" applyBorder="1" applyAlignment="1">
      <alignment horizontal="left" wrapText="1"/>
    </xf>
    <xf numFmtId="168" fontId="12" fillId="3" borderId="13" xfId="0" applyNumberFormat="1" applyFont="1" applyFill="1" applyBorder="1" applyAlignment="1">
      <alignment horizontal="left" wrapText="1"/>
    </xf>
    <xf numFmtId="1" fontId="11" fillId="3" borderId="13" xfId="0" applyNumberFormat="1" applyFont="1" applyFill="1" applyBorder="1" applyAlignment="1">
      <alignment horizontal="left" wrapText="1"/>
    </xf>
    <xf numFmtId="168" fontId="13" fillId="0" borderId="13" xfId="0" applyNumberFormat="1" applyFont="1" applyBorder="1" applyAlignment="1">
      <alignment horizontal="left" wrapText="1"/>
    </xf>
    <xf numFmtId="0" fontId="13" fillId="0" borderId="13" xfId="0" applyFont="1" applyBorder="1" applyAlignment="1">
      <alignment horizontal="left" wrapText="1"/>
    </xf>
    <xf numFmtId="165" fontId="13" fillId="0" borderId="13" xfId="2" applyFont="1" applyBorder="1" applyAlignment="1">
      <alignment horizontal="left" wrapText="1"/>
    </xf>
    <xf numFmtId="168" fontId="15" fillId="3" borderId="13" xfId="0" applyNumberFormat="1" applyFont="1" applyFill="1" applyBorder="1" applyAlignment="1">
      <alignment horizontal="left" wrapText="1"/>
    </xf>
    <xf numFmtId="165" fontId="13" fillId="3" borderId="13" xfId="2" applyFont="1" applyFill="1" applyBorder="1" applyAlignment="1">
      <alignment horizontal="left" wrapText="1"/>
    </xf>
    <xf numFmtId="1" fontId="13" fillId="3" borderId="13" xfId="0" applyNumberFormat="1" applyFont="1" applyFill="1" applyBorder="1" applyAlignment="1">
      <alignment horizontal="left" wrapText="1"/>
    </xf>
    <xf numFmtId="0" fontId="13" fillId="3" borderId="13" xfId="0" applyFont="1" applyFill="1" applyBorder="1" applyAlignment="1">
      <alignment horizontal="center" wrapText="1"/>
    </xf>
    <xf numFmtId="168" fontId="13" fillId="0" borderId="13" xfId="0" applyNumberFormat="1" applyFont="1" applyBorder="1" applyAlignment="1">
      <alignment horizontal="center" wrapText="1"/>
    </xf>
    <xf numFmtId="168" fontId="13" fillId="3" borderId="13" xfId="0" applyNumberFormat="1" applyFont="1" applyFill="1" applyBorder="1" applyAlignment="1">
      <alignment horizontal="left" wrapText="1"/>
    </xf>
    <xf numFmtId="0" fontId="2" fillId="3" borderId="3" xfId="0" applyFont="1" applyFill="1" applyBorder="1" applyAlignment="1">
      <alignment horizontal="right"/>
    </xf>
    <xf numFmtId="0" fontId="16" fillId="0" borderId="0" xfId="0" applyFont="1"/>
    <xf numFmtId="164" fontId="14" fillId="3" borderId="13" xfId="2" applyNumberFormat="1" applyFont="1" applyFill="1" applyBorder="1" applyAlignment="1">
      <alignment horizontal="left" wrapText="1"/>
    </xf>
    <xf numFmtId="164" fontId="17" fillId="3" borderId="13" xfId="2" applyNumberFormat="1" applyFont="1" applyFill="1" applyBorder="1" applyAlignment="1">
      <alignment horizontal="left" wrapText="1"/>
    </xf>
    <xf numFmtId="164" fontId="17" fillId="3" borderId="13" xfId="0" applyNumberFormat="1" applyFont="1" applyFill="1" applyBorder="1" applyAlignment="1">
      <alignment horizontal="left" wrapText="1"/>
    </xf>
    <xf numFmtId="168" fontId="17" fillId="0" borderId="13" xfId="0" applyNumberFormat="1" applyFont="1" applyBorder="1" applyAlignment="1">
      <alignment horizontal="left" wrapText="1"/>
    </xf>
    <xf numFmtId="164" fontId="17" fillId="0" borderId="13" xfId="2" applyNumberFormat="1" applyFont="1" applyBorder="1" applyAlignment="1">
      <alignment horizontal="left" wrapText="1"/>
    </xf>
    <xf numFmtId="168" fontId="17" fillId="3" borderId="13" xfId="0" applyNumberFormat="1" applyFont="1" applyFill="1" applyBorder="1" applyAlignment="1">
      <alignment horizontal="left" wrapText="1"/>
    </xf>
    <xf numFmtId="168" fontId="18" fillId="3" borderId="13" xfId="0" applyNumberFormat="1" applyFont="1" applyFill="1" applyBorder="1" applyAlignment="1">
      <alignment horizontal="left" wrapText="1"/>
    </xf>
    <xf numFmtId="0" fontId="17" fillId="3" borderId="13" xfId="0" applyFont="1" applyFill="1" applyBorder="1" applyAlignment="1">
      <alignment horizontal="left" wrapText="1"/>
    </xf>
    <xf numFmtId="165" fontId="17" fillId="3" borderId="13" xfId="2" applyFont="1" applyFill="1" applyBorder="1" applyAlignment="1">
      <alignment horizontal="left" wrapText="1"/>
    </xf>
    <xf numFmtId="168" fontId="14" fillId="0" borderId="13" xfId="0" applyNumberFormat="1" applyFont="1" applyBorder="1" applyAlignment="1">
      <alignment horizontal="center" wrapText="1"/>
    </xf>
    <xf numFmtId="49" fontId="1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164" fontId="18" fillId="3" borderId="13" xfId="2" applyNumberFormat="1" applyFont="1" applyFill="1" applyBorder="1" applyAlignment="1">
      <alignment horizontal="left" wrapText="1"/>
    </xf>
    <xf numFmtId="0" fontId="3" fillId="2" borderId="15" xfId="0" applyFont="1" applyFill="1" applyBorder="1"/>
    <xf numFmtId="168" fontId="19" fillId="3" borderId="13" xfId="0" applyNumberFormat="1" applyFont="1" applyFill="1" applyBorder="1" applyAlignment="1">
      <alignment horizontal="left" wrapText="1"/>
    </xf>
    <xf numFmtId="164" fontId="19" fillId="3" borderId="13" xfId="2" applyNumberFormat="1" applyFont="1" applyFill="1" applyBorder="1" applyAlignment="1">
      <alignment horizontal="left" wrapText="1"/>
    </xf>
  </cellXfs>
  <cellStyles count="3">
    <cellStyle name="Hipervínculo" xfId="1" builtinId="8"/>
    <cellStyle name="Moneda" xfId="2" builtinId="4"/>
    <cellStyle name="Normal" xfId="0" builtinId="0"/>
  </cellStyles>
  <dxfs count="7"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167" formatCode="&quot;$&quot;\ #,##0.0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</dxfs>
  <tableStyles count="0" defaultTableStyle="TableStyleMedium2" defaultPivotStyle="PivotStyleLight16"/>
  <colors>
    <mruColors>
      <color rgb="FFFF8989"/>
      <color rgb="FFFFFFB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microsoft.com/office/2007/relationships/hdphoto" Target="../media/hdphoto1.wdp"/><Relationship Id="rId1" Type="http://schemas.openxmlformats.org/officeDocument/2006/relationships/image" Target="../media/image4.png"/><Relationship Id="rId6" Type="http://schemas.microsoft.com/office/2007/relationships/hdphoto" Target="../media/hdphoto3.wdp"/><Relationship Id="rId5" Type="http://schemas.openxmlformats.org/officeDocument/2006/relationships/image" Target="../media/image6.png"/><Relationship Id="rId4" Type="http://schemas.microsoft.com/office/2007/relationships/hdphoto" Target="../media/hdphoto2.wdp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108</xdr:row>
      <xdr:rowOff>0</xdr:rowOff>
    </xdr:from>
    <xdr:to>
      <xdr:col>12</xdr:col>
      <xdr:colOff>742950</xdr:colOff>
      <xdr:row>110</xdr:row>
      <xdr:rowOff>9525</xdr:rowOff>
    </xdr:to>
    <xdr:sp macro="[0]!Llamar_Nuevo_pedido" textlink="">
      <xdr:nvSpPr>
        <xdr:cNvPr id="2" name="Cotizador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1069300" y="21097875"/>
          <a:ext cx="1504950" cy="390525"/>
        </a:xfrm>
        <a:prstGeom prst="roundRect">
          <a:avLst/>
        </a:prstGeom>
        <a:solidFill>
          <a:srgbClr val="FF8989"/>
        </a:solidFill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100"/>
            <a:t>Cotizador</a:t>
          </a:r>
        </a:p>
      </xdr:txBody>
    </xdr:sp>
    <xdr:clientData/>
  </xdr:twoCellAnchor>
  <xdr:twoCellAnchor>
    <xdr:from>
      <xdr:col>11</xdr:col>
      <xdr:colOff>0</xdr:colOff>
      <xdr:row>111</xdr:row>
      <xdr:rowOff>0</xdr:rowOff>
    </xdr:from>
    <xdr:to>
      <xdr:col>12</xdr:col>
      <xdr:colOff>742950</xdr:colOff>
      <xdr:row>112</xdr:row>
      <xdr:rowOff>190500</xdr:rowOff>
    </xdr:to>
    <xdr:sp macro="[0]!VerProxVtos" textlink="">
      <xdr:nvSpPr>
        <xdr:cNvPr id="3" name="ProxVtos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21069300" y="21678900"/>
          <a:ext cx="1504950" cy="390525"/>
        </a:xfrm>
        <a:prstGeom prst="roundRect">
          <a:avLst/>
        </a:prstGeom>
        <a:solidFill>
          <a:srgbClr val="FF8989"/>
        </a:solidFill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050"/>
            <a:t>Próximos</a:t>
          </a:r>
          <a:r>
            <a:rPr lang="es-AR" sz="1050" baseline="0"/>
            <a:t> vencimientos</a:t>
          </a:r>
          <a:endParaRPr lang="es-AR" sz="1050"/>
        </a:p>
      </xdr:txBody>
    </xdr:sp>
    <xdr:clientData/>
  </xdr:twoCellAnchor>
  <xdr:twoCellAnchor>
    <xdr:from>
      <xdr:col>11</xdr:col>
      <xdr:colOff>0</xdr:colOff>
      <xdr:row>117</xdr:row>
      <xdr:rowOff>0</xdr:rowOff>
    </xdr:from>
    <xdr:to>
      <xdr:col>12</xdr:col>
      <xdr:colOff>742950</xdr:colOff>
      <xdr:row>119</xdr:row>
      <xdr:rowOff>28575</xdr:rowOff>
    </xdr:to>
    <xdr:sp macro="[0]!Llamar_NuevoUsuario" textlink="">
      <xdr:nvSpPr>
        <xdr:cNvPr id="4" name="NVendedor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21069300" y="22860000"/>
          <a:ext cx="1504950" cy="409575"/>
        </a:xfrm>
        <a:prstGeom prst="roundRect">
          <a:avLst/>
        </a:prstGeom>
        <a:solidFill>
          <a:srgbClr val="FF8989"/>
        </a:solidFill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100"/>
            <a:t>Nuevo vendedor</a:t>
          </a:r>
        </a:p>
      </xdr:txBody>
    </xdr:sp>
    <xdr:clientData/>
  </xdr:twoCellAnchor>
  <xdr:twoCellAnchor>
    <xdr:from>
      <xdr:col>11</xdr:col>
      <xdr:colOff>0</xdr:colOff>
      <xdr:row>114</xdr:row>
      <xdr:rowOff>0</xdr:rowOff>
    </xdr:from>
    <xdr:to>
      <xdr:col>12</xdr:col>
      <xdr:colOff>742950</xdr:colOff>
      <xdr:row>116</xdr:row>
      <xdr:rowOff>0</xdr:rowOff>
    </xdr:to>
    <xdr:sp macro="[0]!CambiarContrasenia" textlink="">
      <xdr:nvSpPr>
        <xdr:cNvPr id="5" name="NContrasenia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21069300" y="22278975"/>
          <a:ext cx="1504950" cy="390525"/>
        </a:xfrm>
        <a:prstGeom prst="roundRect">
          <a:avLst/>
        </a:prstGeom>
        <a:solidFill>
          <a:srgbClr val="FF8989"/>
        </a:solidFill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100"/>
            <a:t>Cambiar contraseña</a:t>
          </a:r>
        </a:p>
      </xdr:txBody>
    </xdr:sp>
    <xdr:clientData/>
  </xdr:twoCellAnchor>
  <xdr:twoCellAnchor>
    <xdr:from>
      <xdr:col>11</xdr:col>
      <xdr:colOff>0</xdr:colOff>
      <xdr:row>120</xdr:row>
      <xdr:rowOff>0</xdr:rowOff>
    </xdr:from>
    <xdr:to>
      <xdr:col>12</xdr:col>
      <xdr:colOff>742950</xdr:colOff>
      <xdr:row>122</xdr:row>
      <xdr:rowOff>19050</xdr:rowOff>
    </xdr:to>
    <xdr:sp macro="[0]!AgregarProducto" textlink="">
      <xdr:nvSpPr>
        <xdr:cNvPr id="6" name="NProducto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21069300" y="23441025"/>
          <a:ext cx="1504950" cy="409575"/>
        </a:xfrm>
        <a:prstGeom prst="roundRect">
          <a:avLst/>
        </a:prstGeom>
        <a:solidFill>
          <a:srgbClr val="FF8989"/>
        </a:solidFill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100"/>
            <a:t>Nuevo producto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3257551</xdr:colOff>
      <xdr:row>1</xdr:row>
      <xdr:rowOff>133351</xdr:rowOff>
    </xdr:from>
    <xdr:ext cx="1162050" cy="323850"/>
    <xdr:sp macro="" textlink="">
      <xdr:nvSpPr>
        <xdr:cNvPr id="10" name="CuadroTexto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SpPr txBox="1"/>
      </xdr:nvSpPr>
      <xdr:spPr>
        <a:xfrm>
          <a:off x="3810001" y="323851"/>
          <a:ext cx="1162050" cy="32385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es-AR" sz="1400" b="1">
              <a:latin typeface="+mn-lt"/>
            </a:rPr>
            <a:t>Presupuesto:</a:t>
          </a:r>
        </a:p>
      </xdr:txBody>
    </xdr:sp>
    <xdr:clientData/>
  </xdr:oneCellAnchor>
  <xdr:oneCellAnchor>
    <xdr:from>
      <xdr:col>1</xdr:col>
      <xdr:colOff>3648075</xdr:colOff>
      <xdr:row>7</xdr:row>
      <xdr:rowOff>123825</xdr:rowOff>
    </xdr:from>
    <xdr:ext cx="676275" cy="323850"/>
    <xdr:sp macro="" textlink="">
      <xdr:nvSpPr>
        <xdr:cNvPr id="11" name="CuadroTexto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SpPr txBox="1"/>
      </xdr:nvSpPr>
      <xdr:spPr>
        <a:xfrm>
          <a:off x="4200525" y="1466850"/>
          <a:ext cx="676275" cy="32385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es-AR" sz="1400" b="1">
              <a:latin typeface="+mn-lt"/>
            </a:rPr>
            <a:t>Fecha: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285750</xdr:colOff>
          <xdr:row>7</xdr:row>
          <xdr:rowOff>161925</xdr:rowOff>
        </xdr:from>
        <xdr:to>
          <xdr:col>6</xdr:col>
          <xdr:colOff>571500</xdr:colOff>
          <xdr:row>9</xdr:row>
          <xdr:rowOff>57150</xdr:rowOff>
        </xdr:to>
        <xdr:sp macro="" textlink="">
          <xdr:nvSpPr>
            <xdr:cNvPr id="1026" name="MM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4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628650</xdr:colOff>
          <xdr:row>7</xdr:row>
          <xdr:rowOff>161925</xdr:rowOff>
        </xdr:from>
        <xdr:to>
          <xdr:col>6</xdr:col>
          <xdr:colOff>914400</xdr:colOff>
          <xdr:row>9</xdr:row>
          <xdr:rowOff>57150</xdr:rowOff>
        </xdr:to>
        <xdr:sp macro="" textlink="">
          <xdr:nvSpPr>
            <xdr:cNvPr id="1027" name="AAAA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4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253999</xdr:colOff>
      <xdr:row>52</xdr:row>
      <xdr:rowOff>47626</xdr:rowOff>
    </xdr:from>
    <xdr:to>
      <xdr:col>7</xdr:col>
      <xdr:colOff>730250</xdr:colOff>
      <xdr:row>84</xdr:row>
      <xdr:rowOff>148166</xdr:rowOff>
    </xdr:to>
    <xdr:sp macro="" textlink="">
      <xdr:nvSpPr>
        <xdr:cNvPr id="5" name="CuadroTexto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 txBox="1"/>
      </xdr:nvSpPr>
      <xdr:spPr>
        <a:xfrm>
          <a:off x="253999" y="10355793"/>
          <a:ext cx="6635751" cy="6196540"/>
        </a:xfrm>
        <a:prstGeom prst="rect">
          <a:avLst/>
        </a:prstGeom>
        <a:solidFill>
          <a:schemeClr val="accent1">
            <a:lumMod val="20000"/>
            <a:lumOff val="80000"/>
            <a:alpha val="70000"/>
          </a:schemeClr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AR" sz="1600" b="1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NOTA:</a:t>
          </a:r>
          <a:endParaRPr lang="es-AR" sz="16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s-AR" sz="1600" b="0" i="1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-El presente presupuesto puede variar sin previo aviso ya que todos nuestros insumos estan dolarizados.</a:t>
          </a:r>
          <a:endParaRPr lang="es-AR" sz="16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s-AR" sz="1600" b="0" i="1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-El pedido se considera efectivo y por lo tanto se comenzará a trabajar en el mismo, una vez recibida la seña del 50% del valor pactado. Se factura finalizado y pagado todo el trabajo. El siguiente presupuesto es SIN IVA. Contamos con Factura C solamente. </a:t>
          </a:r>
        </a:p>
        <a:p>
          <a:r>
            <a:rPr lang="es-AR" sz="1600" b="0" i="1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- Aún en trabajos señados si la demora del mismo es generada por el cliente (no responde mensajes, no aprueba diseños, no manda correcciones, no retira en un lapso de 2 dias despues de informado que su pedido esta listo) se puede actualizar el valor del pedido. </a:t>
          </a:r>
          <a:endParaRPr lang="es-AR" sz="16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s-AR" sz="1600" b="0" i="1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-Salvo casos en donde se aclare lo contrario el trabajo será entregado/estará disponible para ser retirado en 4 dias hábiles desde recibida la seña. En caso de querer retirarlo se recomienda y se agradece la previa coordinación por alguno de nuestros canales de comunicación.</a:t>
          </a:r>
          <a:endParaRPr lang="es-AR" sz="16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s-AR" sz="1600" b="0" i="1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-Los trabajos con caracter de urgente se reciben a discresión de EasyPrint quien dispondrá de la opción de incrementar hasta un 30% el valor del pedido y el mismo será entregado en menos de 24hs hábiles. De no poder cumplir esto último el cliente tendrá la opción de cancelar el pedido y reclamar la devolución de la seña.</a:t>
          </a:r>
        </a:p>
        <a:p>
          <a:r>
            <a:rPr lang="es-AR" sz="1600" b="0" i="1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- Una vez entregado el trabajo tiene Garantia de 24hs para chequeo y posibles reclamos, luego de ese tiempo se considera como SATISFACTORIO y no tiene derecho a reclamo alguno. </a:t>
          </a:r>
          <a:endParaRPr lang="es-AR" sz="1600"/>
        </a:p>
      </xdr:txBody>
    </xdr:sp>
    <xdr:clientData/>
  </xdr:twoCellAnchor>
  <xdr:oneCellAnchor>
    <xdr:from>
      <xdr:col>1</xdr:col>
      <xdr:colOff>1504950</xdr:colOff>
      <xdr:row>0</xdr:row>
      <xdr:rowOff>47625</xdr:rowOff>
    </xdr:from>
    <xdr:ext cx="1971675" cy="971550"/>
    <xdr:sp macro="" textlink="">
      <xdr:nvSpPr>
        <xdr:cNvPr id="6" name="CuadroTexto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 txBox="1"/>
      </xdr:nvSpPr>
      <xdr:spPr>
        <a:xfrm>
          <a:off x="2057400" y="47625"/>
          <a:ext cx="1971675" cy="97155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es-AR" sz="1800">
              <a:latin typeface="Impact" panose="020B0806030902050204" pitchFamily="34" charset="0"/>
            </a:rPr>
            <a:t>Easy Print Salta</a:t>
          </a:r>
        </a:p>
        <a:p>
          <a:pPr algn="ctr"/>
          <a:r>
            <a:rPr lang="es-AR" sz="1100">
              <a:latin typeface="Trebuchet MS" panose="020B0603020202020204" pitchFamily="34" charset="0"/>
            </a:rPr>
            <a:t>Cel:</a:t>
          </a:r>
          <a:r>
            <a:rPr lang="es-AR" sz="1100" baseline="0">
              <a:latin typeface="Trebuchet MS" panose="020B0603020202020204" pitchFamily="34" charset="0"/>
            </a:rPr>
            <a:t> 0387-154140760</a:t>
          </a:r>
          <a:endParaRPr lang="es-AR" sz="1100">
            <a:latin typeface="Trebuchet MS" panose="020B0603020202020204" pitchFamily="34" charset="0"/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7</xdr:row>
          <xdr:rowOff>161925</xdr:rowOff>
        </xdr:from>
        <xdr:to>
          <xdr:col>6</xdr:col>
          <xdr:colOff>285750</xdr:colOff>
          <xdr:row>9</xdr:row>
          <xdr:rowOff>57150</xdr:rowOff>
        </xdr:to>
        <xdr:sp macro="" textlink="">
          <xdr:nvSpPr>
            <xdr:cNvPr id="1025" name="DD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95253</xdr:colOff>
      <xdr:row>0</xdr:row>
      <xdr:rowOff>47626</xdr:rowOff>
    </xdr:from>
    <xdr:to>
      <xdr:col>1</xdr:col>
      <xdr:colOff>1518555</xdr:colOff>
      <xdr:row>10</xdr:row>
      <xdr:rowOff>114376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2654" b="98743" l="2877" r="97397">
                      <a14:foregroundMark x1="8493" y1="10475" x2="8493" y2="10475"/>
                      <a14:foregroundMark x1="7397" y1="5726" x2="7397" y2="5726"/>
                      <a14:foregroundMark x1="6438" y1="2654" x2="6438" y2="2654"/>
                      <a14:foregroundMark x1="97671" y1="67598" x2="97671" y2="67598"/>
                      <a14:foregroundMark x1="2877" y1="47905" x2="2877" y2="47905"/>
                      <a14:foregroundMark x1="41918" y1="86173" x2="41918" y2="86173"/>
                      <a14:foregroundMark x1="32329" y1="87849" x2="32329" y2="87849"/>
                      <a14:foregroundMark x1="22329" y1="89385" x2="22329" y2="89385"/>
                      <a14:foregroundMark x1="7397" y1="88268" x2="7397" y2="88268"/>
                      <a14:foregroundMark x1="46575" y1="87849" x2="46575" y2="87849"/>
                      <a14:foregroundMark x1="57808" y1="87570" x2="57808" y2="87570"/>
                      <a14:foregroundMark x1="68630" y1="88547" x2="68630" y2="88547"/>
                      <a14:foregroundMark x1="73973" y1="88268" x2="73973" y2="88268"/>
                      <a14:foregroundMark x1="87671" y1="84637" x2="87671" y2="84637"/>
                      <a14:foregroundMark x1="87123" y1="88827" x2="87123" y2="88827"/>
                      <a14:foregroundMark x1="11370" y1="98743" x2="11370" y2="98743"/>
                      <a14:foregroundMark x1="18630" y1="98464" x2="18630" y2="98464"/>
                      <a14:foregroundMark x1="21233" y1="98464" x2="21233" y2="98464"/>
                      <a14:foregroundMark x1="24384" y1="98184" x2="24384" y2="98184"/>
                      <a14:foregroundMark x1="29589" y1="98184" x2="29589" y2="98184"/>
                      <a14:foregroundMark x1="33973" y1="97905" x2="33973" y2="97905"/>
                      <a14:foregroundMark x1="31781" y1="98184" x2="31781" y2="98184"/>
                      <a14:foregroundMark x1="39726" y1="97905" x2="39726" y2="97905"/>
                      <a14:foregroundMark x1="41918" y1="98324" x2="41918" y2="98324"/>
                      <a14:foregroundMark x1="46301" y1="97905" x2="46301" y2="97905"/>
                      <a14:foregroundMark x1="56849" y1="98184" x2="56849" y2="98184"/>
                      <a14:foregroundMark x1="67260" y1="98184" x2="67260" y2="98184"/>
                      <a14:foregroundMark x1="69315" y1="98324" x2="69315" y2="98324"/>
                      <a14:foregroundMark x1="75342" y1="97905" x2="75342" y2="97905"/>
                      <a14:foregroundMark x1="77534" y1="97905" x2="77534" y2="97905"/>
                      <a14:foregroundMark x1="13014" y1="97905" x2="13014" y2="97905"/>
                      <a14:foregroundMark x1="72740" y1="97905" x2="72740" y2="97905"/>
                      <a14:foregroundMark x1="37808" y1="85196" x2="37808" y2="85196"/>
                      <a14:backgroundMark x1="19863" y1="87570" x2="19863" y2="87570"/>
                      <a14:backgroundMark x1="50411" y1="86453" x2="50411" y2="86453"/>
                      <a14:backgroundMark x1="73288" y1="84916" x2="73288" y2="84916"/>
                      <a14:backgroundMark x1="74384" y1="86034" x2="74384" y2="86034"/>
                    </a14:backgroundRemoval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95253" y="47626"/>
          <a:ext cx="2029727" cy="1990800"/>
        </a:xfrm>
        <a:prstGeom prst="rect">
          <a:avLst/>
        </a:prstGeom>
      </xdr:spPr>
    </xdr:pic>
    <xdr:clientData/>
  </xdr:twoCellAnchor>
  <xdr:twoCellAnchor>
    <xdr:from>
      <xdr:col>1</xdr:col>
      <xdr:colOff>503089</xdr:colOff>
      <xdr:row>46</xdr:row>
      <xdr:rowOff>10997</xdr:rowOff>
    </xdr:from>
    <xdr:to>
      <xdr:col>1</xdr:col>
      <xdr:colOff>3960560</xdr:colOff>
      <xdr:row>48</xdr:row>
      <xdr:rowOff>36621</xdr:rowOff>
    </xdr:to>
    <xdr:grpSp>
      <xdr:nvGrpSpPr>
        <xdr:cNvPr id="2" name="Grup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1116922" y="9578330"/>
          <a:ext cx="3457471" cy="406624"/>
          <a:chOff x="1160314" y="7365538"/>
          <a:chExt cx="3457471" cy="399279"/>
        </a:xfrm>
      </xdr:grpSpPr>
      <xdr:pic>
        <xdr:nvPicPr>
          <xdr:cNvPr id="3" name="Imagen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BEBA8EAE-BF5A-486C-A8C5-ECC9F3942E4B}">
                <a14:imgProps xmlns:a14="http://schemas.microsoft.com/office/drawing/2010/main">
                  <a14:imgLayer r:embed="rId4">
                    <a14:imgEffect>
                      <a14:backgroundRemoval t="10000" b="90000" l="10000" r="90000">
                        <a14:foregroundMark x1="55125" y1="20500" x2="55125" y2="20500"/>
                        <a14:foregroundMark x1="62125" y1="55250" x2="62125" y2="55250"/>
                        <a14:foregroundMark x1="68000" y1="36375" x2="68000" y2="36375"/>
                      </a14:backgroundRemoval>
                    </a14:imgEffect>
                    <a14:imgEffect>
                      <a14:sharpenSoften amount="50000"/>
                    </a14:imgEffect>
                    <a14:imgEffect>
                      <a14:saturation sat="0"/>
                    </a14:imgEffect>
                    <a14:imgEffect>
                      <a14:brightnessContrast bright="40000" contrast="10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3247118" y="7425993"/>
            <a:ext cx="342000" cy="338824"/>
          </a:xfrm>
          <a:prstGeom prst="rect">
            <a:avLst/>
          </a:prstGeom>
        </xdr:spPr>
      </xdr:pic>
      <xdr:sp macro="" textlink="">
        <xdr:nvSpPr>
          <xdr:cNvPr id="12" name="CuadroTexto 11">
            <a:extLst>
              <a:ext uri="{FF2B5EF4-FFF2-40B4-BE49-F238E27FC236}">
                <a16:creationId xmlns:a16="http://schemas.microsoft.com/office/drawing/2014/main" id="{00000000-0008-0000-0400-00000C000000}"/>
              </a:ext>
            </a:extLst>
          </xdr:cNvPr>
          <xdr:cNvSpPr txBox="1"/>
        </xdr:nvSpPr>
        <xdr:spPr>
          <a:xfrm>
            <a:off x="1417865" y="7432344"/>
            <a:ext cx="1123950" cy="32385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es-AR" sz="1100" b="1">
                <a:latin typeface="+mn-lt"/>
              </a:rPr>
              <a:t>easyprintsalta</a:t>
            </a:r>
          </a:p>
        </xdr:txBody>
      </xdr:sp>
      <xdr:sp macro="" textlink="">
        <xdr:nvSpPr>
          <xdr:cNvPr id="13" name="CuadroTexto 12">
            <a:extLst>
              <a:ext uri="{FF2B5EF4-FFF2-40B4-BE49-F238E27FC236}">
                <a16:creationId xmlns:a16="http://schemas.microsoft.com/office/drawing/2014/main" id="{00000000-0008-0000-0400-00000D000000}"/>
              </a:ext>
            </a:extLst>
          </xdr:cNvPr>
          <xdr:cNvSpPr txBox="1"/>
        </xdr:nvSpPr>
        <xdr:spPr>
          <a:xfrm>
            <a:off x="3424919" y="7432344"/>
            <a:ext cx="1192866" cy="1860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es-AR" sz="1100" b="1">
                <a:latin typeface="+mn-lt"/>
              </a:rPr>
              <a:t>easyprint.salta</a:t>
            </a:r>
          </a:p>
        </xdr:txBody>
      </xdr:sp>
      <xdr:pic>
        <xdr:nvPicPr>
          <xdr:cNvPr id="9" name="Imagen 8">
            <a:extLst>
              <a:ext uri="{FF2B5EF4-FFF2-40B4-BE49-F238E27FC236}">
                <a16:creationId xmlns:a16="http://schemas.microsoft.com/office/drawing/2014/main" id="{00000000-0008-0000-04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ackgroundRemoval t="10000" b="90000" l="10000" r="90000">
                        <a14:foregroundMark x1="15385" y1="43846" x2="15385" y2="43846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1160314" y="7365538"/>
            <a:ext cx="342000" cy="338824"/>
          </a:xfrm>
          <a:prstGeom prst="rect">
            <a:avLst/>
          </a:prstGeom>
        </xdr:spPr>
      </xdr:pic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DD0DF89-0168-4E64-A226-BBC3AD487991}" name="Tabla2" displayName="Tabla2" ref="A1:G113" totalsRowShown="0" headerRowDxfId="6">
  <autoFilter ref="A1:G113" xr:uid="{3DD0DF89-0168-4E64-A226-BBC3AD487991}"/>
  <tableColumns count="7">
    <tableColumn id="1" xr3:uid="{A6F3A99E-8D9B-454C-BD66-BF846A3EB0A3}" name="Código"/>
    <tableColumn id="2" xr3:uid="{9DAD0A2D-19AC-4309-965C-02D7C28263F5}" name="Descrip. Producto"/>
    <tableColumn id="3" xr3:uid="{DCD05ADA-257E-4AD3-9CA9-2FBDD329B745}" name="Cant. Min-Max" dataDxfId="5"/>
    <tableColumn id="6" xr3:uid="{2AB36533-D1F7-4316-83A4-D29950D14A56}" name="Dimensiones (a;l)" dataDxfId="4"/>
    <tableColumn id="4" xr3:uid="{FA44257A-11FD-45EF-830D-D4EA7D18C8D8}" name="Precio en $" dataDxfId="3">
      <calculatedColumnFormula>D2*K$1</calculatedColumnFormula>
    </tableColumn>
    <tableColumn id="5" xr3:uid="{1CF382FF-11DB-4617-8FBF-CBDC5EBA721F}" name="Ganancia"/>
    <tableColumn id="7" xr3:uid="{76D22CC4-440B-4EBB-82E7-25A5B2B6B641}" name="Categoría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78B9F56-305D-48E9-93BE-9DEC5B6F0491}" name="Tabla1" displayName="Tabla1" ref="A1:D1048574" totalsRowShown="0" headerRowDxfId="0">
  <autoFilter ref="A1:D1048574" xr:uid="{F78B9F56-305D-48E9-93BE-9DEC5B6F0491}"/>
  <tableColumns count="4">
    <tableColumn id="1" xr3:uid="{76D72348-60C9-4F79-816E-5FA27AA5A38B}" name="Nombre"/>
    <tableColumn id="2" xr3:uid="{115AB29F-89A0-4428-A8AE-4A25B706E593}" name="Contacto"/>
    <tableColumn id="4" xr3:uid="{EA535E9D-8B00-442C-9F58-33ACB691D7CF}" name="Red"/>
    <tableColumn id="3" xr3:uid="{C9C2117A-1CE2-40EF-BE66-63CAB683C579}" name="Rubro"/>
  </tableColumns>
  <tableStyleInfo name="TableStyleMedium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C73E39-79FD-49C3-9D7D-0821A15819A0}" name="TablaLogueo" displayName="TablaLogueo" ref="A1:E5" totalsRowShown="0">
  <autoFilter ref="A1:E5" xr:uid="{E3C73E39-79FD-49C3-9D7D-0821A15819A0}"/>
  <tableColumns count="5">
    <tableColumn id="1" xr3:uid="{16C02ADA-FD1C-4C88-92B8-32B9EBAA3B8C}" name="Nombre"/>
    <tableColumn id="2" xr3:uid="{0E3DA27E-8CDA-4911-A8AC-6C6381267733}" name="Usuario"/>
    <tableColumn id="3" xr3:uid="{6E6A0C12-0992-42B1-BB85-718DF6B96665}" name="Password"/>
    <tableColumn id="4" xr3:uid="{26A11D99-5BEF-4B91-A473-EDB7AF10481E}" name="Correo electrónico"/>
    <tableColumn id="5" xr3:uid="{9E9C7B27-07B2-4EE9-91CB-7B9A993E78CD}" name="Usuario Actua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bna.com.ar/Personas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hyperlink" Target="mailto:nandafer1318@gmail.com" TargetMode="External"/><Relationship Id="rId2" Type="http://schemas.openxmlformats.org/officeDocument/2006/relationships/hyperlink" Target="mailto:lucho.lc27@gmail.com" TargetMode="External"/><Relationship Id="rId1" Type="http://schemas.openxmlformats.org/officeDocument/2006/relationships/hyperlink" Target="mailto:ramirolatigano@gmail.com" TargetMode="External"/><Relationship Id="rId5" Type="http://schemas.openxmlformats.org/officeDocument/2006/relationships/table" Target="../tables/table3.xml"/><Relationship Id="rId4" Type="http://schemas.openxmlformats.org/officeDocument/2006/relationships/hyperlink" Target="mailto:valecontrerasespada95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1C18A-9BA3-4877-9A09-1638FD2CD6F2}">
  <sheetPr codeName="Hoja4"/>
  <dimension ref="A1:K138"/>
  <sheetViews>
    <sheetView topLeftCell="A78" workbookViewId="0">
      <selection activeCell="B84" sqref="B84"/>
    </sheetView>
  </sheetViews>
  <sheetFormatPr baseColWidth="10" defaultRowHeight="15" x14ac:dyDescent="0.25"/>
  <cols>
    <col min="1" max="1" width="22.28515625" bestFit="1" customWidth="1"/>
    <col min="2" max="2" width="44.28515625" bestFit="1" customWidth="1"/>
    <col min="3" max="3" width="20.5703125" style="69" bestFit="1" customWidth="1"/>
    <col min="4" max="4" width="23.42578125" style="69" bestFit="1" customWidth="1"/>
    <col min="5" max="5" width="10.7109375" style="1" bestFit="1" customWidth="1"/>
    <col min="6" max="6" width="13.85546875" bestFit="1" customWidth="1"/>
    <col min="7" max="7" width="14.42578125" bestFit="1" customWidth="1"/>
    <col min="10" max="10" width="27.42578125" bestFit="1" customWidth="1"/>
  </cols>
  <sheetData>
    <row r="1" spans="1:11" ht="18.75" x14ac:dyDescent="0.3">
      <c r="A1" s="2" t="s">
        <v>14</v>
      </c>
      <c r="B1" s="2" t="s">
        <v>8</v>
      </c>
      <c r="C1" s="68" t="s">
        <v>275</v>
      </c>
      <c r="D1" s="68" t="s">
        <v>269</v>
      </c>
      <c r="E1" s="3" t="s">
        <v>106</v>
      </c>
      <c r="F1" s="2" t="s">
        <v>0</v>
      </c>
      <c r="G1" s="2" t="s">
        <v>261</v>
      </c>
      <c r="J1" s="34" t="s">
        <v>105</v>
      </c>
      <c r="K1" s="35">
        <v>380</v>
      </c>
    </row>
    <row r="2" spans="1:11" x14ac:dyDescent="0.25">
      <c r="A2">
        <v>101</v>
      </c>
      <c r="B2" t="s">
        <v>9</v>
      </c>
      <c r="C2" s="69" t="s">
        <v>276</v>
      </c>
      <c r="D2" s="69" t="s">
        <v>270</v>
      </c>
      <c r="E2" s="1">
        <v>274.97000000000003</v>
      </c>
      <c r="F2">
        <v>2</v>
      </c>
      <c r="G2" t="s">
        <v>264</v>
      </c>
      <c r="J2" t="s">
        <v>104</v>
      </c>
      <c r="K2" s="36" t="s">
        <v>103</v>
      </c>
    </row>
    <row r="3" spans="1:11" x14ac:dyDescent="0.25">
      <c r="A3">
        <v>102</v>
      </c>
      <c r="B3" t="s">
        <v>9</v>
      </c>
      <c r="C3" s="69" t="s">
        <v>277</v>
      </c>
      <c r="D3" s="69" t="s">
        <v>270</v>
      </c>
      <c r="E3" s="1">
        <v>247</v>
      </c>
      <c r="F3">
        <v>2</v>
      </c>
      <c r="G3" t="s">
        <v>264</v>
      </c>
    </row>
    <row r="4" spans="1:11" x14ac:dyDescent="0.25">
      <c r="A4">
        <v>103</v>
      </c>
      <c r="B4" t="s">
        <v>9</v>
      </c>
      <c r="C4" s="69" t="s">
        <v>278</v>
      </c>
      <c r="D4" s="69" t="s">
        <v>270</v>
      </c>
      <c r="E4" s="1">
        <v>233.72</v>
      </c>
      <c r="F4">
        <v>2</v>
      </c>
      <c r="G4" t="s">
        <v>264</v>
      </c>
    </row>
    <row r="5" spans="1:11" x14ac:dyDescent="0.25">
      <c r="A5">
        <v>201</v>
      </c>
      <c r="B5" t="s">
        <v>10</v>
      </c>
      <c r="C5" s="69" t="s">
        <v>276</v>
      </c>
      <c r="D5" s="69" t="s">
        <v>270</v>
      </c>
      <c r="E5" s="1">
        <v>405.65</v>
      </c>
      <c r="F5">
        <v>2</v>
      </c>
      <c r="G5" t="s">
        <v>264</v>
      </c>
    </row>
    <row r="6" spans="1:11" x14ac:dyDescent="0.25">
      <c r="A6">
        <v>202</v>
      </c>
      <c r="B6" t="s">
        <v>10</v>
      </c>
      <c r="C6" s="69" t="s">
        <v>277</v>
      </c>
      <c r="D6" s="69" t="s">
        <v>270</v>
      </c>
      <c r="E6" s="1">
        <v>365</v>
      </c>
      <c r="F6">
        <v>2</v>
      </c>
      <c r="G6" t="s">
        <v>264</v>
      </c>
    </row>
    <row r="7" spans="1:11" x14ac:dyDescent="0.25">
      <c r="A7">
        <v>203</v>
      </c>
      <c r="B7" t="s">
        <v>10</v>
      </c>
      <c r="C7" s="69" t="s">
        <v>278</v>
      </c>
      <c r="D7" s="69" t="s">
        <v>270</v>
      </c>
      <c r="E7" s="1">
        <v>344.8</v>
      </c>
      <c r="F7">
        <v>2</v>
      </c>
      <c r="G7" t="s">
        <v>264</v>
      </c>
    </row>
    <row r="8" spans="1:11" x14ac:dyDescent="0.25">
      <c r="A8" s="57">
        <v>1901</v>
      </c>
      <c r="B8" t="s">
        <v>110</v>
      </c>
      <c r="C8" s="69" t="s">
        <v>276</v>
      </c>
      <c r="D8" s="69" t="s">
        <v>270</v>
      </c>
      <c r="E8" s="1">
        <v>317.52999999999997</v>
      </c>
      <c r="F8">
        <v>2</v>
      </c>
      <c r="G8" t="s">
        <v>264</v>
      </c>
    </row>
    <row r="9" spans="1:11" x14ac:dyDescent="0.25">
      <c r="A9" s="57">
        <v>1902</v>
      </c>
      <c r="B9" t="s">
        <v>110</v>
      </c>
      <c r="C9" s="69" t="s">
        <v>277</v>
      </c>
      <c r="D9" s="69" t="s">
        <v>270</v>
      </c>
      <c r="E9" s="1">
        <v>286</v>
      </c>
      <c r="F9">
        <v>2</v>
      </c>
      <c r="G9" t="s">
        <v>264</v>
      </c>
    </row>
    <row r="10" spans="1:11" x14ac:dyDescent="0.25">
      <c r="A10" s="57">
        <v>1903</v>
      </c>
      <c r="B10" t="s">
        <v>110</v>
      </c>
      <c r="C10" s="69" t="s">
        <v>278</v>
      </c>
      <c r="D10" s="69" t="s">
        <v>270</v>
      </c>
      <c r="E10" s="1">
        <v>269.89999999999998</v>
      </c>
      <c r="F10">
        <v>2</v>
      </c>
      <c r="G10" t="s">
        <v>264</v>
      </c>
    </row>
    <row r="11" spans="1:11" x14ac:dyDescent="0.25">
      <c r="A11" s="57">
        <v>2001</v>
      </c>
      <c r="B11" t="s">
        <v>108</v>
      </c>
      <c r="C11" s="69" t="s">
        <v>276</v>
      </c>
      <c r="D11" s="69" t="s">
        <v>270</v>
      </c>
      <c r="E11" s="1">
        <v>448.21</v>
      </c>
      <c r="F11">
        <v>2</v>
      </c>
      <c r="G11" t="s">
        <v>264</v>
      </c>
    </row>
    <row r="12" spans="1:11" x14ac:dyDescent="0.25">
      <c r="A12" s="57">
        <v>2002</v>
      </c>
      <c r="B12" t="s">
        <v>108</v>
      </c>
      <c r="C12" s="69" t="s">
        <v>277</v>
      </c>
      <c r="D12" s="69" t="s">
        <v>270</v>
      </c>
      <c r="E12" s="1">
        <v>403</v>
      </c>
      <c r="F12">
        <v>2</v>
      </c>
      <c r="G12" t="s">
        <v>264</v>
      </c>
    </row>
    <row r="13" spans="1:11" x14ac:dyDescent="0.25">
      <c r="A13" s="57">
        <v>2003</v>
      </c>
      <c r="B13" t="s">
        <v>108</v>
      </c>
      <c r="C13" s="69" t="s">
        <v>278</v>
      </c>
      <c r="D13" s="69" t="s">
        <v>270</v>
      </c>
      <c r="E13" s="1">
        <v>390.98</v>
      </c>
      <c r="F13">
        <v>2</v>
      </c>
      <c r="G13" t="s">
        <v>264</v>
      </c>
    </row>
    <row r="14" spans="1:11" x14ac:dyDescent="0.25">
      <c r="A14" s="57">
        <v>2101</v>
      </c>
      <c r="B14" t="s">
        <v>111</v>
      </c>
      <c r="C14" s="69" t="s">
        <v>276</v>
      </c>
      <c r="D14" s="69" t="s">
        <v>270</v>
      </c>
      <c r="E14" s="1">
        <v>407.62</v>
      </c>
      <c r="F14">
        <v>2</v>
      </c>
      <c r="G14" t="s">
        <v>264</v>
      </c>
    </row>
    <row r="15" spans="1:11" x14ac:dyDescent="0.25">
      <c r="A15" s="57">
        <v>2102</v>
      </c>
      <c r="B15" t="s">
        <v>111</v>
      </c>
      <c r="C15" s="69" t="s">
        <v>277</v>
      </c>
      <c r="D15" s="69" t="s">
        <v>270</v>
      </c>
      <c r="E15" s="1">
        <v>367</v>
      </c>
      <c r="F15">
        <v>2</v>
      </c>
      <c r="G15" t="s">
        <v>264</v>
      </c>
    </row>
    <row r="16" spans="1:11" x14ac:dyDescent="0.25">
      <c r="A16" s="57">
        <v>2103</v>
      </c>
      <c r="B16" t="s">
        <v>111</v>
      </c>
      <c r="C16" s="69" t="s">
        <v>278</v>
      </c>
      <c r="D16" s="69" t="s">
        <v>270</v>
      </c>
      <c r="E16" s="1">
        <v>346.47</v>
      </c>
      <c r="F16">
        <v>2</v>
      </c>
      <c r="G16" t="s">
        <v>264</v>
      </c>
    </row>
    <row r="17" spans="1:7" x14ac:dyDescent="0.25">
      <c r="A17" s="57">
        <v>2201</v>
      </c>
      <c r="B17" t="s">
        <v>109</v>
      </c>
      <c r="C17" s="69" t="s">
        <v>276</v>
      </c>
      <c r="D17" s="69" t="s">
        <v>270</v>
      </c>
      <c r="E17" s="1">
        <v>538.29999999999995</v>
      </c>
      <c r="F17">
        <v>2</v>
      </c>
      <c r="G17" t="s">
        <v>264</v>
      </c>
    </row>
    <row r="18" spans="1:7" x14ac:dyDescent="0.25">
      <c r="A18" s="57">
        <v>2202</v>
      </c>
      <c r="B18" t="s">
        <v>109</v>
      </c>
      <c r="C18" s="69" t="s">
        <v>277</v>
      </c>
      <c r="D18" s="69" t="s">
        <v>270</v>
      </c>
      <c r="E18" s="1">
        <v>484</v>
      </c>
      <c r="F18">
        <v>2</v>
      </c>
      <c r="G18" t="s">
        <v>264</v>
      </c>
    </row>
    <row r="19" spans="1:7" x14ac:dyDescent="0.25">
      <c r="A19" s="57">
        <v>2203</v>
      </c>
      <c r="B19" t="s">
        <v>109</v>
      </c>
      <c r="C19" s="69" t="s">
        <v>278</v>
      </c>
      <c r="D19" s="69" t="s">
        <v>270</v>
      </c>
      <c r="E19" s="1">
        <v>457.55</v>
      </c>
      <c r="F19">
        <v>2</v>
      </c>
      <c r="G19" t="s">
        <v>264</v>
      </c>
    </row>
    <row r="20" spans="1:7" x14ac:dyDescent="0.25">
      <c r="A20">
        <v>301</v>
      </c>
      <c r="B20" t="s">
        <v>11</v>
      </c>
      <c r="C20" s="69" t="s">
        <v>276</v>
      </c>
      <c r="D20" s="69" t="s">
        <v>270</v>
      </c>
      <c r="E20" s="1">
        <v>461.56</v>
      </c>
      <c r="F20">
        <v>2</v>
      </c>
      <c r="G20" t="s">
        <v>264</v>
      </c>
    </row>
    <row r="21" spans="1:7" x14ac:dyDescent="0.25">
      <c r="A21">
        <v>302</v>
      </c>
      <c r="B21" t="s">
        <v>11</v>
      </c>
      <c r="C21" s="69" t="s">
        <v>277</v>
      </c>
      <c r="D21" s="69" t="s">
        <v>270</v>
      </c>
      <c r="E21" s="1">
        <v>415</v>
      </c>
      <c r="F21">
        <v>2</v>
      </c>
      <c r="G21" t="s">
        <v>264</v>
      </c>
    </row>
    <row r="22" spans="1:7" x14ac:dyDescent="0.25">
      <c r="A22">
        <v>303</v>
      </c>
      <c r="B22" t="s">
        <v>11</v>
      </c>
      <c r="C22" s="69" t="s">
        <v>278</v>
      </c>
      <c r="D22" s="69" t="s">
        <v>270</v>
      </c>
      <c r="E22" s="1">
        <v>392.32</v>
      </c>
      <c r="F22">
        <v>2</v>
      </c>
      <c r="G22" t="s">
        <v>264</v>
      </c>
    </row>
    <row r="23" spans="1:7" x14ac:dyDescent="0.25">
      <c r="A23">
        <v>401</v>
      </c>
      <c r="B23" t="s">
        <v>15</v>
      </c>
      <c r="C23" s="69" t="s">
        <v>276</v>
      </c>
      <c r="D23" s="69" t="s">
        <v>270</v>
      </c>
      <c r="E23" s="1">
        <v>592.24</v>
      </c>
      <c r="F23">
        <v>2</v>
      </c>
      <c r="G23" t="s">
        <v>264</v>
      </c>
    </row>
    <row r="24" spans="1:7" x14ac:dyDescent="0.25">
      <c r="A24">
        <v>402</v>
      </c>
      <c r="B24" t="s">
        <v>15</v>
      </c>
      <c r="C24" s="69" t="s">
        <v>277</v>
      </c>
      <c r="D24" s="69" t="s">
        <v>270</v>
      </c>
      <c r="E24" s="1">
        <v>533</v>
      </c>
      <c r="F24">
        <v>2</v>
      </c>
      <c r="G24" t="s">
        <v>264</v>
      </c>
    </row>
    <row r="25" spans="1:7" x14ac:dyDescent="0.25">
      <c r="A25">
        <v>403</v>
      </c>
      <c r="B25" t="s">
        <v>15</v>
      </c>
      <c r="C25" s="69" t="s">
        <v>278</v>
      </c>
      <c r="D25" s="69" t="s">
        <v>270</v>
      </c>
      <c r="E25" s="1">
        <v>503.4</v>
      </c>
      <c r="F25">
        <v>2</v>
      </c>
      <c r="G25" t="s">
        <v>264</v>
      </c>
    </row>
    <row r="26" spans="1:7" x14ac:dyDescent="0.25">
      <c r="A26" s="57">
        <v>2301</v>
      </c>
      <c r="B26" t="s">
        <v>112</v>
      </c>
      <c r="C26" s="69" t="s">
        <v>276</v>
      </c>
      <c r="D26" s="69" t="s">
        <v>270</v>
      </c>
      <c r="E26" s="1">
        <v>679.78</v>
      </c>
      <c r="F26">
        <v>2</v>
      </c>
      <c r="G26" t="s">
        <v>264</v>
      </c>
    </row>
    <row r="27" spans="1:7" x14ac:dyDescent="0.25">
      <c r="A27" s="57">
        <v>2302</v>
      </c>
      <c r="B27" t="s">
        <v>112</v>
      </c>
      <c r="C27" s="69" t="s">
        <v>277</v>
      </c>
      <c r="D27" s="69" t="s">
        <v>270</v>
      </c>
      <c r="E27" s="1">
        <v>612</v>
      </c>
      <c r="F27">
        <v>2</v>
      </c>
      <c r="G27" t="s">
        <v>264</v>
      </c>
    </row>
    <row r="28" spans="1:7" x14ac:dyDescent="0.25">
      <c r="A28" s="57">
        <v>2303</v>
      </c>
      <c r="B28" t="s">
        <v>112</v>
      </c>
      <c r="C28" s="69" t="s">
        <v>278</v>
      </c>
      <c r="D28" s="69" t="s">
        <v>270</v>
      </c>
      <c r="E28" s="1">
        <v>577.80999999999995</v>
      </c>
      <c r="F28">
        <v>2</v>
      </c>
      <c r="G28" t="s">
        <v>264</v>
      </c>
    </row>
    <row r="29" spans="1:7" x14ac:dyDescent="0.25">
      <c r="A29" s="57">
        <v>2401</v>
      </c>
      <c r="B29" t="s">
        <v>107</v>
      </c>
      <c r="C29" s="69" t="s">
        <v>276</v>
      </c>
      <c r="D29" s="69" t="s">
        <v>270</v>
      </c>
      <c r="E29" s="1">
        <v>810.46</v>
      </c>
      <c r="F29">
        <v>2</v>
      </c>
      <c r="G29" t="s">
        <v>264</v>
      </c>
    </row>
    <row r="30" spans="1:7" x14ac:dyDescent="0.25">
      <c r="A30" s="57">
        <v>2402</v>
      </c>
      <c r="B30" t="s">
        <v>107</v>
      </c>
      <c r="C30" s="69" t="s">
        <v>277</v>
      </c>
      <c r="D30" s="69" t="s">
        <v>270</v>
      </c>
      <c r="E30" s="1">
        <v>729</v>
      </c>
      <c r="F30">
        <v>2</v>
      </c>
      <c r="G30" t="s">
        <v>264</v>
      </c>
    </row>
    <row r="31" spans="1:7" x14ac:dyDescent="0.25">
      <c r="A31" s="57">
        <v>2403</v>
      </c>
      <c r="B31" t="s">
        <v>107</v>
      </c>
      <c r="C31" s="69" t="s">
        <v>278</v>
      </c>
      <c r="D31" s="69" t="s">
        <v>270</v>
      </c>
      <c r="E31" s="1">
        <v>688.89</v>
      </c>
      <c r="F31">
        <v>2</v>
      </c>
      <c r="G31" t="s">
        <v>264</v>
      </c>
    </row>
    <row r="32" spans="1:7" x14ac:dyDescent="0.25">
      <c r="A32">
        <v>501</v>
      </c>
      <c r="B32" t="s">
        <v>12</v>
      </c>
      <c r="C32" s="69" t="s">
        <v>276</v>
      </c>
      <c r="D32" s="69" t="s">
        <v>270</v>
      </c>
      <c r="E32" s="1">
        <v>962</v>
      </c>
      <c r="F32">
        <v>2</v>
      </c>
      <c r="G32" t="s">
        <v>264</v>
      </c>
    </row>
    <row r="33" spans="1:7" x14ac:dyDescent="0.25">
      <c r="A33">
        <v>502</v>
      </c>
      <c r="B33" t="s">
        <v>12</v>
      </c>
      <c r="C33" s="69" t="s">
        <v>277</v>
      </c>
      <c r="D33" s="69" t="s">
        <v>270</v>
      </c>
      <c r="E33" s="1">
        <v>866</v>
      </c>
      <c r="F33">
        <v>2</v>
      </c>
      <c r="G33" t="s">
        <v>264</v>
      </c>
    </row>
    <row r="34" spans="1:7" x14ac:dyDescent="0.25">
      <c r="A34">
        <v>503</v>
      </c>
      <c r="B34" t="s">
        <v>12</v>
      </c>
      <c r="C34" s="69" t="s">
        <v>278</v>
      </c>
      <c r="D34" s="69" t="s">
        <v>270</v>
      </c>
      <c r="E34" s="1">
        <v>817.99</v>
      </c>
      <c r="F34">
        <v>2</v>
      </c>
      <c r="G34" t="s">
        <v>264</v>
      </c>
    </row>
    <row r="35" spans="1:7" x14ac:dyDescent="0.25">
      <c r="A35">
        <v>601</v>
      </c>
      <c r="B35" t="s">
        <v>13</v>
      </c>
      <c r="C35" s="69" t="s">
        <v>276</v>
      </c>
      <c r="D35" s="69" t="s">
        <v>270</v>
      </c>
      <c r="E35" s="1">
        <v>1186</v>
      </c>
      <c r="F35">
        <v>2</v>
      </c>
      <c r="G35" t="s">
        <v>264</v>
      </c>
    </row>
    <row r="36" spans="1:7" x14ac:dyDescent="0.25">
      <c r="A36">
        <v>602</v>
      </c>
      <c r="B36" t="s">
        <v>13</v>
      </c>
      <c r="C36" s="69" t="s">
        <v>277</v>
      </c>
      <c r="D36" s="69" t="s">
        <v>270</v>
      </c>
      <c r="E36" s="1">
        <v>1068</v>
      </c>
      <c r="F36">
        <v>2</v>
      </c>
      <c r="G36" t="s">
        <v>264</v>
      </c>
    </row>
    <row r="37" spans="1:7" x14ac:dyDescent="0.25">
      <c r="A37">
        <v>603</v>
      </c>
      <c r="B37" t="s">
        <v>13</v>
      </c>
      <c r="C37" s="69" t="s">
        <v>278</v>
      </c>
      <c r="D37" s="69" t="s">
        <v>270</v>
      </c>
      <c r="E37" s="1">
        <v>1008.41</v>
      </c>
      <c r="F37">
        <v>2</v>
      </c>
      <c r="G37" t="s">
        <v>264</v>
      </c>
    </row>
    <row r="38" spans="1:7" x14ac:dyDescent="0.25">
      <c r="A38" s="57">
        <v>2501</v>
      </c>
      <c r="B38" t="s">
        <v>115</v>
      </c>
      <c r="C38" s="69" t="s">
        <v>276</v>
      </c>
      <c r="D38" s="69" t="s">
        <v>270</v>
      </c>
      <c r="E38" s="1">
        <v>544.28</v>
      </c>
      <c r="F38">
        <v>2</v>
      </c>
      <c r="G38" t="s">
        <v>264</v>
      </c>
    </row>
    <row r="39" spans="1:7" x14ac:dyDescent="0.25">
      <c r="A39" s="57">
        <v>2502</v>
      </c>
      <c r="B39" t="s">
        <v>115</v>
      </c>
      <c r="C39" s="69" t="s">
        <v>277</v>
      </c>
      <c r="D39" s="69" t="s">
        <v>270</v>
      </c>
      <c r="E39" s="1">
        <v>490</v>
      </c>
      <c r="F39">
        <v>2</v>
      </c>
      <c r="G39" t="s">
        <v>264</v>
      </c>
    </row>
    <row r="40" spans="1:7" x14ac:dyDescent="0.25">
      <c r="A40" s="57">
        <v>2503</v>
      </c>
      <c r="B40" t="s">
        <v>115</v>
      </c>
      <c r="C40" s="69" t="s">
        <v>278</v>
      </c>
      <c r="D40" s="69" t="s">
        <v>270</v>
      </c>
      <c r="E40" s="1">
        <v>462.64</v>
      </c>
      <c r="F40">
        <v>2</v>
      </c>
      <c r="G40" t="s">
        <v>264</v>
      </c>
    </row>
    <row r="41" spans="1:7" x14ac:dyDescent="0.25">
      <c r="A41" s="57">
        <v>2601</v>
      </c>
      <c r="B41" t="s">
        <v>116</v>
      </c>
      <c r="C41" s="69" t="s">
        <v>276</v>
      </c>
      <c r="D41" s="69" t="s">
        <v>270</v>
      </c>
      <c r="E41" s="1">
        <v>879.82</v>
      </c>
      <c r="F41">
        <v>2</v>
      </c>
      <c r="G41" t="s">
        <v>264</v>
      </c>
    </row>
    <row r="42" spans="1:7" x14ac:dyDescent="0.25">
      <c r="A42" s="57">
        <v>2602</v>
      </c>
      <c r="B42" t="s">
        <v>116</v>
      </c>
      <c r="C42" s="69" t="s">
        <v>277</v>
      </c>
      <c r="D42" s="69" t="s">
        <v>270</v>
      </c>
      <c r="E42" s="1">
        <v>792</v>
      </c>
      <c r="F42">
        <v>2</v>
      </c>
      <c r="G42" t="s">
        <v>264</v>
      </c>
    </row>
    <row r="43" spans="1:7" x14ac:dyDescent="0.25">
      <c r="A43" s="57">
        <v>2603</v>
      </c>
      <c r="B43" t="s">
        <v>116</v>
      </c>
      <c r="C43" s="69" t="s">
        <v>278</v>
      </c>
      <c r="D43" s="69" t="s">
        <v>270</v>
      </c>
      <c r="E43" s="1">
        <v>747.85</v>
      </c>
      <c r="F43">
        <v>2</v>
      </c>
      <c r="G43" t="s">
        <v>264</v>
      </c>
    </row>
    <row r="44" spans="1:7" x14ac:dyDescent="0.25">
      <c r="A44">
        <v>701</v>
      </c>
      <c r="B44" t="s">
        <v>47</v>
      </c>
      <c r="C44" s="69" t="s">
        <v>276</v>
      </c>
      <c r="D44" s="69" t="s">
        <v>270</v>
      </c>
      <c r="E44" s="1">
        <v>197.77</v>
      </c>
      <c r="F44">
        <v>2</v>
      </c>
      <c r="G44" t="s">
        <v>264</v>
      </c>
    </row>
    <row r="45" spans="1:7" x14ac:dyDescent="0.25">
      <c r="A45">
        <v>702</v>
      </c>
      <c r="B45" t="s">
        <v>47</v>
      </c>
      <c r="C45" s="69" t="s">
        <v>277</v>
      </c>
      <c r="D45" s="69" t="s">
        <v>270</v>
      </c>
      <c r="E45" s="1">
        <v>178</v>
      </c>
      <c r="F45">
        <v>2</v>
      </c>
      <c r="G45" t="s">
        <v>264</v>
      </c>
    </row>
    <row r="46" spans="1:7" x14ac:dyDescent="0.25">
      <c r="A46">
        <v>703</v>
      </c>
      <c r="B46" t="s">
        <v>47</v>
      </c>
      <c r="C46" s="69" t="s">
        <v>278</v>
      </c>
      <c r="D46" s="69" t="s">
        <v>270</v>
      </c>
      <c r="E46" s="1">
        <v>168.1</v>
      </c>
      <c r="F46">
        <v>2</v>
      </c>
      <c r="G46" t="s">
        <v>264</v>
      </c>
    </row>
    <row r="47" spans="1:7" x14ac:dyDescent="0.25">
      <c r="A47">
        <v>801</v>
      </c>
      <c r="B47" t="s">
        <v>48</v>
      </c>
      <c r="C47" s="69" t="s">
        <v>276</v>
      </c>
      <c r="D47" s="69" t="s">
        <v>270</v>
      </c>
      <c r="E47" s="1">
        <v>314.75</v>
      </c>
      <c r="F47">
        <v>2</v>
      </c>
      <c r="G47" t="s">
        <v>264</v>
      </c>
    </row>
    <row r="48" spans="1:7" x14ac:dyDescent="0.25">
      <c r="A48">
        <v>802</v>
      </c>
      <c r="B48" t="s">
        <v>48</v>
      </c>
      <c r="C48" s="69" t="s">
        <v>277</v>
      </c>
      <c r="D48" s="69" t="s">
        <v>270</v>
      </c>
      <c r="E48" s="1">
        <v>283</v>
      </c>
      <c r="F48">
        <v>2</v>
      </c>
      <c r="G48" t="s">
        <v>264</v>
      </c>
    </row>
    <row r="49" spans="1:7" x14ac:dyDescent="0.25">
      <c r="A49">
        <v>803</v>
      </c>
      <c r="B49" t="s">
        <v>48</v>
      </c>
      <c r="C49" s="69" t="s">
        <v>278</v>
      </c>
      <c r="D49" s="69" t="s">
        <v>270</v>
      </c>
      <c r="E49" s="1">
        <v>267.52999999999997</v>
      </c>
      <c r="F49">
        <v>2</v>
      </c>
      <c r="G49" t="s">
        <v>264</v>
      </c>
    </row>
    <row r="50" spans="1:7" x14ac:dyDescent="0.25">
      <c r="A50">
        <v>901</v>
      </c>
      <c r="B50" t="s">
        <v>49</v>
      </c>
      <c r="C50" s="69" t="s">
        <v>276</v>
      </c>
      <c r="D50" s="69" t="s">
        <v>270</v>
      </c>
      <c r="E50" s="1">
        <v>206.75</v>
      </c>
      <c r="F50">
        <v>2</v>
      </c>
      <c r="G50" t="s">
        <v>264</v>
      </c>
    </row>
    <row r="51" spans="1:7" x14ac:dyDescent="0.25">
      <c r="A51">
        <v>902</v>
      </c>
      <c r="B51" t="s">
        <v>49</v>
      </c>
      <c r="C51" s="69" t="s">
        <v>277</v>
      </c>
      <c r="D51" s="69" t="s">
        <v>270</v>
      </c>
      <c r="E51" s="1">
        <v>186</v>
      </c>
      <c r="F51">
        <v>2</v>
      </c>
      <c r="G51" t="s">
        <v>264</v>
      </c>
    </row>
    <row r="52" spans="1:7" x14ac:dyDescent="0.25">
      <c r="A52">
        <v>903</v>
      </c>
      <c r="B52" t="s">
        <v>49</v>
      </c>
      <c r="C52" s="69" t="s">
        <v>278</v>
      </c>
      <c r="D52" s="69" t="s">
        <v>270</v>
      </c>
      <c r="E52" s="1">
        <v>175.73</v>
      </c>
      <c r="F52">
        <v>2</v>
      </c>
      <c r="G52" t="s">
        <v>264</v>
      </c>
    </row>
    <row r="53" spans="1:7" x14ac:dyDescent="0.25">
      <c r="A53">
        <v>1001</v>
      </c>
      <c r="B53" t="s">
        <v>50</v>
      </c>
      <c r="C53" s="69" t="s">
        <v>276</v>
      </c>
      <c r="D53" s="69" t="s">
        <v>270</v>
      </c>
      <c r="E53" s="1">
        <v>323.72000000000003</v>
      </c>
      <c r="F53">
        <v>2</v>
      </c>
      <c r="G53" t="s">
        <v>264</v>
      </c>
    </row>
    <row r="54" spans="1:7" x14ac:dyDescent="0.25">
      <c r="A54">
        <v>1002</v>
      </c>
      <c r="B54" t="s">
        <v>50</v>
      </c>
      <c r="C54" s="69" t="s">
        <v>277</v>
      </c>
      <c r="D54" s="69" t="s">
        <v>270</v>
      </c>
      <c r="E54" s="1">
        <v>291</v>
      </c>
      <c r="F54">
        <v>2</v>
      </c>
      <c r="G54" t="s">
        <v>264</v>
      </c>
    </row>
    <row r="55" spans="1:7" x14ac:dyDescent="0.25">
      <c r="A55">
        <v>1003</v>
      </c>
      <c r="B55" t="s">
        <v>50</v>
      </c>
      <c r="C55" s="69" t="s">
        <v>278</v>
      </c>
      <c r="D55" s="69" t="s">
        <v>270</v>
      </c>
      <c r="E55" s="1">
        <v>275.16000000000003</v>
      </c>
      <c r="F55">
        <v>2</v>
      </c>
      <c r="G55" t="s">
        <v>264</v>
      </c>
    </row>
    <row r="56" spans="1:7" x14ac:dyDescent="0.25">
      <c r="A56">
        <v>1101</v>
      </c>
      <c r="B56" t="s">
        <v>51</v>
      </c>
      <c r="C56" s="69" t="s">
        <v>276</v>
      </c>
      <c r="D56" s="69" t="s">
        <v>270</v>
      </c>
      <c r="E56" s="1">
        <v>278.56</v>
      </c>
      <c r="F56">
        <v>2</v>
      </c>
      <c r="G56" t="s">
        <v>264</v>
      </c>
    </row>
    <row r="57" spans="1:7" x14ac:dyDescent="0.25">
      <c r="A57">
        <v>1102</v>
      </c>
      <c r="B57" t="s">
        <v>51</v>
      </c>
      <c r="C57" s="69" t="s">
        <v>277</v>
      </c>
      <c r="D57" s="69" t="s">
        <v>270</v>
      </c>
      <c r="E57" s="1">
        <v>251</v>
      </c>
      <c r="F57">
        <v>2</v>
      </c>
      <c r="G57" t="s">
        <v>264</v>
      </c>
    </row>
    <row r="58" spans="1:7" x14ac:dyDescent="0.25">
      <c r="A58">
        <v>1103</v>
      </c>
      <c r="B58" t="s">
        <v>51</v>
      </c>
      <c r="C58" s="69" t="s">
        <v>278</v>
      </c>
      <c r="D58" s="69" t="s">
        <v>270</v>
      </c>
      <c r="E58" s="1">
        <v>236.78</v>
      </c>
      <c r="F58">
        <v>2</v>
      </c>
      <c r="G58" t="s">
        <v>264</v>
      </c>
    </row>
    <row r="59" spans="1:7" x14ac:dyDescent="0.25">
      <c r="A59">
        <v>1201</v>
      </c>
      <c r="B59" t="s">
        <v>52</v>
      </c>
      <c r="C59" s="69" t="s">
        <v>276</v>
      </c>
      <c r="D59" s="69" t="s">
        <v>270</v>
      </c>
      <c r="E59" s="1">
        <v>395.54</v>
      </c>
      <c r="F59">
        <v>2</v>
      </c>
      <c r="G59" t="s">
        <v>264</v>
      </c>
    </row>
    <row r="60" spans="1:7" x14ac:dyDescent="0.25">
      <c r="A60">
        <v>1202</v>
      </c>
      <c r="B60" t="s">
        <v>52</v>
      </c>
      <c r="C60" s="69" t="s">
        <v>277</v>
      </c>
      <c r="D60" s="69" t="s">
        <v>270</v>
      </c>
      <c r="E60" s="1">
        <v>356</v>
      </c>
      <c r="F60">
        <v>2</v>
      </c>
      <c r="G60" t="s">
        <v>264</v>
      </c>
    </row>
    <row r="61" spans="1:7" x14ac:dyDescent="0.25">
      <c r="A61">
        <v>1203</v>
      </c>
      <c r="B61" t="s">
        <v>52</v>
      </c>
      <c r="C61" s="69" t="s">
        <v>278</v>
      </c>
      <c r="D61" s="69" t="s">
        <v>270</v>
      </c>
      <c r="E61" s="1">
        <v>336.21</v>
      </c>
      <c r="F61">
        <v>2</v>
      </c>
      <c r="G61" t="s">
        <v>264</v>
      </c>
    </row>
    <row r="62" spans="1:7" x14ac:dyDescent="0.25">
      <c r="A62">
        <v>1301</v>
      </c>
      <c r="B62" t="s">
        <v>53</v>
      </c>
      <c r="C62" s="69" t="s">
        <v>276</v>
      </c>
      <c r="D62" s="69" t="s">
        <v>270</v>
      </c>
      <c r="E62" s="1">
        <v>310.88</v>
      </c>
      <c r="F62">
        <v>2</v>
      </c>
      <c r="G62" t="s">
        <v>264</v>
      </c>
    </row>
    <row r="63" spans="1:7" x14ac:dyDescent="0.25">
      <c r="A63">
        <v>1302</v>
      </c>
      <c r="B63" t="s">
        <v>53</v>
      </c>
      <c r="C63" s="69" t="s">
        <v>277</v>
      </c>
      <c r="D63" s="69" t="s">
        <v>270</v>
      </c>
      <c r="E63" s="1">
        <v>280</v>
      </c>
      <c r="F63">
        <v>2</v>
      </c>
      <c r="G63" t="s">
        <v>264</v>
      </c>
    </row>
    <row r="64" spans="1:7" x14ac:dyDescent="0.25">
      <c r="A64">
        <v>1303</v>
      </c>
      <c r="B64" t="s">
        <v>53</v>
      </c>
      <c r="C64" s="69" t="s">
        <v>278</v>
      </c>
      <c r="D64" s="69" t="s">
        <v>270</v>
      </c>
      <c r="E64" s="1">
        <v>264.25</v>
      </c>
      <c r="F64">
        <v>2</v>
      </c>
      <c r="G64" t="s">
        <v>264</v>
      </c>
    </row>
    <row r="65" spans="1:7" x14ac:dyDescent="0.25">
      <c r="A65">
        <v>1401</v>
      </c>
      <c r="B65" t="s">
        <v>54</v>
      </c>
      <c r="C65" s="69" t="s">
        <v>276</v>
      </c>
      <c r="D65" s="69" t="s">
        <v>270</v>
      </c>
      <c r="E65" s="1">
        <v>427.85</v>
      </c>
      <c r="F65">
        <v>2</v>
      </c>
      <c r="G65" t="s">
        <v>264</v>
      </c>
    </row>
    <row r="66" spans="1:7" x14ac:dyDescent="0.25">
      <c r="A66">
        <v>1402</v>
      </c>
      <c r="B66" t="s">
        <v>54</v>
      </c>
      <c r="C66" s="69" t="s">
        <v>277</v>
      </c>
      <c r="D66" s="69" t="s">
        <v>270</v>
      </c>
      <c r="E66" s="1">
        <v>385</v>
      </c>
      <c r="F66">
        <v>2</v>
      </c>
      <c r="G66" t="s">
        <v>264</v>
      </c>
    </row>
    <row r="67" spans="1:7" x14ac:dyDescent="0.25">
      <c r="A67">
        <v>1403</v>
      </c>
      <c r="B67" t="s">
        <v>54</v>
      </c>
      <c r="C67" s="69" t="s">
        <v>278</v>
      </c>
      <c r="D67" s="69" t="s">
        <v>270</v>
      </c>
      <c r="E67" s="1">
        <v>363.68</v>
      </c>
      <c r="F67">
        <v>2</v>
      </c>
      <c r="G67" t="s">
        <v>264</v>
      </c>
    </row>
    <row r="68" spans="1:7" x14ac:dyDescent="0.25">
      <c r="A68">
        <v>1501</v>
      </c>
      <c r="B68" t="s">
        <v>55</v>
      </c>
      <c r="C68" s="69" t="s">
        <v>276</v>
      </c>
      <c r="D68" s="69" t="s">
        <v>270</v>
      </c>
      <c r="E68" s="1">
        <v>336.01</v>
      </c>
      <c r="F68">
        <v>2</v>
      </c>
      <c r="G68" t="s">
        <v>264</v>
      </c>
    </row>
    <row r="69" spans="1:7" x14ac:dyDescent="0.25">
      <c r="A69">
        <v>1502</v>
      </c>
      <c r="B69" t="s">
        <v>55</v>
      </c>
      <c r="C69" s="69" t="s">
        <v>277</v>
      </c>
      <c r="D69" s="69" t="s">
        <v>270</v>
      </c>
      <c r="E69" s="1">
        <v>302</v>
      </c>
      <c r="F69">
        <v>2</v>
      </c>
      <c r="G69" t="s">
        <v>264</v>
      </c>
    </row>
    <row r="70" spans="1:7" x14ac:dyDescent="0.25">
      <c r="A70">
        <v>1503</v>
      </c>
      <c r="B70" t="s">
        <v>55</v>
      </c>
      <c r="C70" s="69" t="s">
        <v>278</v>
      </c>
      <c r="D70" s="69" t="s">
        <v>270</v>
      </c>
      <c r="E70" s="1">
        <v>285.61</v>
      </c>
      <c r="F70">
        <v>2</v>
      </c>
      <c r="G70" t="s">
        <v>264</v>
      </c>
    </row>
    <row r="71" spans="1:7" x14ac:dyDescent="0.25">
      <c r="A71">
        <v>1601</v>
      </c>
      <c r="B71" t="s">
        <v>56</v>
      </c>
      <c r="C71" s="69" t="s">
        <v>276</v>
      </c>
      <c r="D71" s="69" t="s">
        <v>270</v>
      </c>
      <c r="E71" s="1">
        <v>452.99</v>
      </c>
      <c r="F71">
        <v>2</v>
      </c>
      <c r="G71" t="s">
        <v>264</v>
      </c>
    </row>
    <row r="72" spans="1:7" x14ac:dyDescent="0.25">
      <c r="A72">
        <v>1602</v>
      </c>
      <c r="B72" t="s">
        <v>56</v>
      </c>
      <c r="C72" s="69" t="s">
        <v>277</v>
      </c>
      <c r="D72" s="69" t="s">
        <v>270</v>
      </c>
      <c r="E72" s="1">
        <v>408</v>
      </c>
      <c r="F72">
        <v>2</v>
      </c>
      <c r="G72" t="s">
        <v>264</v>
      </c>
    </row>
    <row r="73" spans="1:7" x14ac:dyDescent="0.25">
      <c r="A73">
        <v>1603</v>
      </c>
      <c r="B73" t="s">
        <v>56</v>
      </c>
      <c r="C73" s="69" t="s">
        <v>278</v>
      </c>
      <c r="D73" s="69" t="s">
        <v>270</v>
      </c>
      <c r="E73" s="1">
        <v>385.04</v>
      </c>
      <c r="F73">
        <v>2</v>
      </c>
      <c r="G73" t="s">
        <v>264</v>
      </c>
    </row>
    <row r="74" spans="1:7" x14ac:dyDescent="0.25">
      <c r="A74">
        <v>1701</v>
      </c>
      <c r="B74" t="s">
        <v>57</v>
      </c>
      <c r="C74" s="69" t="s">
        <v>276</v>
      </c>
      <c r="D74" s="69" t="s">
        <v>270</v>
      </c>
      <c r="E74" s="1">
        <v>440.14</v>
      </c>
      <c r="F74">
        <v>2</v>
      </c>
      <c r="G74" t="s">
        <v>264</v>
      </c>
    </row>
    <row r="75" spans="1:7" x14ac:dyDescent="0.25">
      <c r="A75">
        <v>1702</v>
      </c>
      <c r="B75" t="s">
        <v>57</v>
      </c>
      <c r="C75" s="69" t="s">
        <v>277</v>
      </c>
      <c r="D75" s="69" t="s">
        <v>270</v>
      </c>
      <c r="E75" s="1">
        <v>396</v>
      </c>
      <c r="F75">
        <v>2</v>
      </c>
      <c r="G75" t="s">
        <v>264</v>
      </c>
    </row>
    <row r="76" spans="1:7" x14ac:dyDescent="0.25">
      <c r="A76">
        <v>1703</v>
      </c>
      <c r="B76" t="s">
        <v>57</v>
      </c>
      <c r="C76" s="69" t="s">
        <v>278</v>
      </c>
      <c r="D76" s="69" t="s">
        <v>270</v>
      </c>
      <c r="E76" s="1">
        <v>374.12</v>
      </c>
      <c r="F76">
        <v>2</v>
      </c>
      <c r="G76" t="s">
        <v>264</v>
      </c>
    </row>
    <row r="77" spans="1:7" x14ac:dyDescent="0.25">
      <c r="A77">
        <v>1801</v>
      </c>
      <c r="B77" t="s">
        <v>58</v>
      </c>
      <c r="C77" s="69" t="s">
        <v>276</v>
      </c>
      <c r="D77" s="69" t="s">
        <v>270</v>
      </c>
      <c r="E77" s="1">
        <v>557.12</v>
      </c>
      <c r="F77">
        <v>2</v>
      </c>
      <c r="G77" t="s">
        <v>264</v>
      </c>
    </row>
    <row r="78" spans="1:7" x14ac:dyDescent="0.25">
      <c r="A78">
        <v>1802</v>
      </c>
      <c r="B78" t="s">
        <v>58</v>
      </c>
      <c r="C78" s="69" t="s">
        <v>277</v>
      </c>
      <c r="D78" s="69" t="s">
        <v>270</v>
      </c>
      <c r="E78" s="1">
        <v>501</v>
      </c>
      <c r="F78">
        <v>2</v>
      </c>
      <c r="G78" t="s">
        <v>264</v>
      </c>
    </row>
    <row r="79" spans="1:7" x14ac:dyDescent="0.25">
      <c r="A79">
        <v>1803</v>
      </c>
      <c r="B79" t="s">
        <v>58</v>
      </c>
      <c r="C79" s="69" t="s">
        <v>278</v>
      </c>
      <c r="D79" s="69" t="s">
        <v>270</v>
      </c>
      <c r="E79" s="1">
        <v>473.55</v>
      </c>
      <c r="F79">
        <v>2</v>
      </c>
      <c r="G79" t="s">
        <v>264</v>
      </c>
    </row>
    <row r="80" spans="1:7" x14ac:dyDescent="0.25">
      <c r="A80" s="57">
        <v>2701</v>
      </c>
      <c r="B80" t="s">
        <v>286</v>
      </c>
      <c r="C80" s="69" t="s">
        <v>276</v>
      </c>
      <c r="E80" s="1">
        <v>402</v>
      </c>
      <c r="F80">
        <v>2</v>
      </c>
      <c r="G80" t="s">
        <v>264</v>
      </c>
    </row>
    <row r="81" spans="1:8" x14ac:dyDescent="0.25">
      <c r="A81" s="57">
        <v>2702</v>
      </c>
      <c r="B81" t="s">
        <v>287</v>
      </c>
      <c r="C81" s="69" t="s">
        <v>277</v>
      </c>
      <c r="E81" s="1">
        <v>309</v>
      </c>
      <c r="F81">
        <v>2</v>
      </c>
      <c r="G81" t="s">
        <v>264</v>
      </c>
    </row>
    <row r="82" spans="1:8" x14ac:dyDescent="0.25">
      <c r="A82" s="57">
        <v>2703</v>
      </c>
      <c r="B82" t="s">
        <v>288</v>
      </c>
      <c r="C82" s="69" t="s">
        <v>278</v>
      </c>
      <c r="E82" s="1">
        <v>232</v>
      </c>
      <c r="F82">
        <v>2</v>
      </c>
      <c r="G82" t="s">
        <v>264</v>
      </c>
    </row>
    <row r="83" spans="1:8" x14ac:dyDescent="0.25">
      <c r="A83">
        <v>190</v>
      </c>
      <c r="B83" t="s">
        <v>16</v>
      </c>
      <c r="C83" s="69" t="s">
        <v>279</v>
      </c>
      <c r="D83" s="69" t="s">
        <v>271</v>
      </c>
      <c r="E83" s="1">
        <v>4569</v>
      </c>
      <c r="F83">
        <v>2</v>
      </c>
      <c r="G83" t="s">
        <v>262</v>
      </c>
    </row>
    <row r="84" spans="1:8" x14ac:dyDescent="0.25">
      <c r="A84">
        <v>200</v>
      </c>
      <c r="B84" t="s">
        <v>17</v>
      </c>
      <c r="C84" s="69" t="s">
        <v>279</v>
      </c>
      <c r="D84" s="69" t="s">
        <v>272</v>
      </c>
      <c r="E84" s="1">
        <v>6106</v>
      </c>
      <c r="F84">
        <v>2</v>
      </c>
      <c r="G84" t="s">
        <v>262</v>
      </c>
    </row>
    <row r="85" spans="1:8" x14ac:dyDescent="0.25">
      <c r="A85" s="57">
        <v>180</v>
      </c>
      <c r="B85" t="s">
        <v>113</v>
      </c>
      <c r="C85" s="69" t="s">
        <v>279</v>
      </c>
      <c r="D85" s="69" t="s">
        <v>271</v>
      </c>
      <c r="E85" s="1">
        <v>6106</v>
      </c>
      <c r="F85">
        <v>2</v>
      </c>
      <c r="G85" t="s">
        <v>262</v>
      </c>
    </row>
    <row r="86" spans="1:8" x14ac:dyDescent="0.25">
      <c r="A86">
        <v>210</v>
      </c>
      <c r="B86" t="s">
        <v>18</v>
      </c>
      <c r="C86" s="69" t="s">
        <v>279</v>
      </c>
      <c r="D86" s="69" t="s">
        <v>271</v>
      </c>
      <c r="E86" s="1">
        <v>4965</v>
      </c>
      <c r="F86">
        <v>2</v>
      </c>
      <c r="G86" t="s">
        <v>263</v>
      </c>
    </row>
    <row r="87" spans="1:8" x14ac:dyDescent="0.25">
      <c r="A87">
        <v>220</v>
      </c>
      <c r="B87" t="s">
        <v>19</v>
      </c>
      <c r="C87" s="69" t="s">
        <v>279</v>
      </c>
      <c r="D87" s="69" t="s">
        <v>271</v>
      </c>
      <c r="E87" s="1">
        <v>8000</v>
      </c>
      <c r="F87">
        <v>2</v>
      </c>
      <c r="G87" t="s">
        <v>263</v>
      </c>
    </row>
    <row r="88" spans="1:8" x14ac:dyDescent="0.25">
      <c r="A88">
        <v>230</v>
      </c>
      <c r="B88" t="s">
        <v>21</v>
      </c>
      <c r="C88" s="69" t="s">
        <v>279</v>
      </c>
      <c r="D88" s="69" t="s">
        <v>274</v>
      </c>
      <c r="E88" s="1">
        <v>8300</v>
      </c>
      <c r="F88">
        <v>2</v>
      </c>
      <c r="G88" t="s">
        <v>263</v>
      </c>
    </row>
    <row r="89" spans="1:8" x14ac:dyDescent="0.25">
      <c r="A89">
        <v>240</v>
      </c>
      <c r="B89" t="s">
        <v>22</v>
      </c>
      <c r="C89" s="69" t="s">
        <v>279</v>
      </c>
      <c r="D89" s="69" t="s">
        <v>274</v>
      </c>
      <c r="E89" s="1">
        <v>16372</v>
      </c>
      <c r="F89">
        <v>2</v>
      </c>
      <c r="G89" t="s">
        <v>263</v>
      </c>
    </row>
    <row r="90" spans="1:8" x14ac:dyDescent="0.25">
      <c r="A90" s="57">
        <v>260</v>
      </c>
      <c r="B90" t="s">
        <v>114</v>
      </c>
      <c r="C90" s="69" t="s">
        <v>279</v>
      </c>
      <c r="D90" s="69" t="s">
        <v>274</v>
      </c>
      <c r="E90" s="1">
        <v>16372</v>
      </c>
      <c r="F90">
        <v>2</v>
      </c>
      <c r="G90" t="s">
        <v>263</v>
      </c>
    </row>
    <row r="91" spans="1:8" x14ac:dyDescent="0.25">
      <c r="A91" s="57">
        <v>270</v>
      </c>
      <c r="B91" t="s">
        <v>290</v>
      </c>
      <c r="C91" s="69" t="s">
        <v>279</v>
      </c>
      <c r="D91" s="69" t="s">
        <v>273</v>
      </c>
      <c r="E91" s="1">
        <v>18874</v>
      </c>
      <c r="F91">
        <v>2</v>
      </c>
      <c r="G91" t="s">
        <v>263</v>
      </c>
    </row>
    <row r="92" spans="1:8" x14ac:dyDescent="0.25">
      <c r="A92" s="57">
        <v>280</v>
      </c>
      <c r="B92" s="37" t="s">
        <v>266</v>
      </c>
      <c r="C92" s="69" t="s">
        <v>279</v>
      </c>
      <c r="D92" s="69" t="s">
        <v>271</v>
      </c>
      <c r="E92" s="1">
        <v>2500</v>
      </c>
      <c r="F92">
        <v>2</v>
      </c>
    </row>
    <row r="93" spans="1:8" x14ac:dyDescent="0.25">
      <c r="A93">
        <v>250</v>
      </c>
      <c r="B93" s="37" t="s">
        <v>267</v>
      </c>
      <c r="C93" s="69" t="s">
        <v>279</v>
      </c>
      <c r="E93" s="1">
        <v>15000</v>
      </c>
      <c r="F93">
        <v>2</v>
      </c>
    </row>
    <row r="94" spans="1:8" x14ac:dyDescent="0.25">
      <c r="A94" s="57">
        <v>290</v>
      </c>
      <c r="B94" t="s">
        <v>186</v>
      </c>
      <c r="C94" s="69" t="s">
        <v>279</v>
      </c>
      <c r="D94" s="69" t="s">
        <v>308</v>
      </c>
      <c r="E94" s="1">
        <v>11.86</v>
      </c>
      <c r="F94">
        <v>2</v>
      </c>
      <c r="G94" t="s">
        <v>265</v>
      </c>
    </row>
    <row r="95" spans="1:8" x14ac:dyDescent="0.25">
      <c r="A95" s="57">
        <v>300</v>
      </c>
      <c r="B95" t="s">
        <v>187</v>
      </c>
      <c r="C95" s="69" t="s">
        <v>279</v>
      </c>
      <c r="D95" s="69" t="s">
        <v>308</v>
      </c>
      <c r="E95" s="1">
        <v>17.64</v>
      </c>
      <c r="F95">
        <v>2</v>
      </c>
      <c r="G95" t="s">
        <v>265</v>
      </c>
    </row>
    <row r="96" spans="1:8" x14ac:dyDescent="0.25">
      <c r="A96" s="57">
        <v>310</v>
      </c>
      <c r="B96" t="s">
        <v>188</v>
      </c>
      <c r="C96" s="69" t="s">
        <v>279</v>
      </c>
      <c r="D96" s="69" t="s">
        <v>308</v>
      </c>
      <c r="E96" s="1">
        <v>47.05</v>
      </c>
      <c r="F96">
        <v>2</v>
      </c>
      <c r="G96" t="s">
        <v>265</v>
      </c>
      <c r="H96" t="s">
        <v>291</v>
      </c>
    </row>
    <row r="97" spans="1:8" x14ac:dyDescent="0.25">
      <c r="A97" s="57">
        <v>320</v>
      </c>
      <c r="B97" t="s">
        <v>189</v>
      </c>
      <c r="C97" s="69" t="s">
        <v>279</v>
      </c>
      <c r="D97" s="69" t="s">
        <v>308</v>
      </c>
      <c r="E97" s="1">
        <v>58.82</v>
      </c>
      <c r="F97">
        <v>2</v>
      </c>
      <c r="G97" t="s">
        <v>265</v>
      </c>
      <c r="H97" t="s">
        <v>292</v>
      </c>
    </row>
    <row r="98" spans="1:8" x14ac:dyDescent="0.25">
      <c r="A98" s="57">
        <v>330</v>
      </c>
      <c r="B98" t="s">
        <v>190</v>
      </c>
      <c r="C98" s="69" t="s">
        <v>279</v>
      </c>
      <c r="D98" s="69" t="s">
        <v>309</v>
      </c>
      <c r="E98" s="1">
        <v>10.27</v>
      </c>
      <c r="F98">
        <v>2</v>
      </c>
      <c r="G98" t="s">
        <v>265</v>
      </c>
      <c r="H98" t="s">
        <v>293</v>
      </c>
    </row>
    <row r="99" spans="1:8" x14ac:dyDescent="0.25">
      <c r="A99" s="57">
        <v>340</v>
      </c>
      <c r="B99" t="s">
        <v>192</v>
      </c>
      <c r="C99" s="69" t="s">
        <v>279</v>
      </c>
      <c r="D99" s="69" t="s">
        <v>309</v>
      </c>
      <c r="E99" s="1">
        <v>15.29</v>
      </c>
      <c r="F99">
        <v>2</v>
      </c>
      <c r="G99" t="s">
        <v>265</v>
      </c>
      <c r="H99" t="s">
        <v>294</v>
      </c>
    </row>
    <row r="100" spans="1:8" x14ac:dyDescent="0.25">
      <c r="A100" s="57">
        <v>350</v>
      </c>
      <c r="B100" t="s">
        <v>193</v>
      </c>
      <c r="C100" s="69" t="s">
        <v>279</v>
      </c>
      <c r="D100" s="69" t="s">
        <v>309</v>
      </c>
      <c r="E100" s="1">
        <v>40.78</v>
      </c>
      <c r="F100">
        <v>2</v>
      </c>
      <c r="G100" t="s">
        <v>265</v>
      </c>
      <c r="H100" t="s">
        <v>291</v>
      </c>
    </row>
    <row r="101" spans="1:8" x14ac:dyDescent="0.25">
      <c r="A101" s="57">
        <v>360</v>
      </c>
      <c r="B101" t="s">
        <v>191</v>
      </c>
      <c r="C101" s="69" t="s">
        <v>279</v>
      </c>
      <c r="D101" s="69" t="s">
        <v>309</v>
      </c>
      <c r="E101" s="1">
        <v>50.98</v>
      </c>
      <c r="F101">
        <v>2</v>
      </c>
      <c r="G101" t="s">
        <v>265</v>
      </c>
    </row>
    <row r="102" spans="1:8" x14ac:dyDescent="0.25">
      <c r="A102" s="57">
        <v>370</v>
      </c>
      <c r="B102" t="s">
        <v>196</v>
      </c>
      <c r="C102" s="69" t="s">
        <v>279</v>
      </c>
      <c r="D102" s="69" t="s">
        <v>309</v>
      </c>
      <c r="E102" s="1">
        <v>96.81</v>
      </c>
      <c r="F102">
        <v>2</v>
      </c>
      <c r="G102" t="s">
        <v>265</v>
      </c>
      <c r="H102" t="s">
        <v>294</v>
      </c>
    </row>
    <row r="103" spans="1:8" x14ac:dyDescent="0.25">
      <c r="A103" s="57">
        <v>380</v>
      </c>
      <c r="B103" t="s">
        <v>197</v>
      </c>
      <c r="C103" s="69" t="s">
        <v>279</v>
      </c>
      <c r="D103" s="69" t="s">
        <v>309</v>
      </c>
      <c r="E103" s="1">
        <v>129.08000000000001</v>
      </c>
      <c r="F103">
        <v>2</v>
      </c>
      <c r="G103" t="s">
        <v>265</v>
      </c>
      <c r="H103" t="s">
        <v>295</v>
      </c>
    </row>
    <row r="104" spans="1:8" x14ac:dyDescent="0.25">
      <c r="A104" s="57" t="s">
        <v>296</v>
      </c>
      <c r="B104" t="s">
        <v>297</v>
      </c>
      <c r="C104" s="69" t="s">
        <v>279</v>
      </c>
      <c r="D104" s="69" t="s">
        <v>309</v>
      </c>
      <c r="E104" s="1">
        <v>181.3</v>
      </c>
      <c r="F104">
        <v>2</v>
      </c>
      <c r="G104" t="s">
        <v>265</v>
      </c>
    </row>
    <row r="105" spans="1:8" x14ac:dyDescent="0.25">
      <c r="A105" s="57" t="s">
        <v>296</v>
      </c>
      <c r="B105" t="s">
        <v>298</v>
      </c>
      <c r="C105" s="69" t="s">
        <v>279</v>
      </c>
      <c r="D105" s="69" t="s">
        <v>309</v>
      </c>
      <c r="E105" s="1">
        <v>271.92</v>
      </c>
      <c r="F105">
        <v>2</v>
      </c>
      <c r="G105" t="s">
        <v>265</v>
      </c>
    </row>
    <row r="106" spans="1:8" x14ac:dyDescent="0.25">
      <c r="A106" s="57" t="s">
        <v>299</v>
      </c>
      <c r="B106" t="s">
        <v>300</v>
      </c>
      <c r="C106" s="69" t="s">
        <v>279</v>
      </c>
      <c r="D106" s="69" t="s">
        <v>309</v>
      </c>
      <c r="E106" s="1">
        <v>170.68</v>
      </c>
      <c r="F106">
        <v>2</v>
      </c>
      <c r="G106" t="s">
        <v>265</v>
      </c>
    </row>
    <row r="107" spans="1:8" x14ac:dyDescent="0.25">
      <c r="A107" s="57" t="s">
        <v>299</v>
      </c>
      <c r="B107" t="s">
        <v>301</v>
      </c>
      <c r="C107" s="69" t="s">
        <v>279</v>
      </c>
      <c r="D107" s="69" t="s">
        <v>309</v>
      </c>
      <c r="E107" s="1">
        <v>256.02</v>
      </c>
      <c r="F107">
        <v>2</v>
      </c>
      <c r="G107" t="s">
        <v>265</v>
      </c>
    </row>
    <row r="108" spans="1:8" x14ac:dyDescent="0.25">
      <c r="A108" s="57" t="s">
        <v>302</v>
      </c>
      <c r="B108" t="s">
        <v>303</v>
      </c>
      <c r="C108" s="69" t="s">
        <v>279</v>
      </c>
      <c r="D108" s="69" t="s">
        <v>309</v>
      </c>
      <c r="E108" s="1">
        <v>154.94</v>
      </c>
      <c r="F108">
        <v>2</v>
      </c>
      <c r="G108" t="s">
        <v>265</v>
      </c>
    </row>
    <row r="109" spans="1:8" x14ac:dyDescent="0.25">
      <c r="A109" s="57" t="s">
        <v>302</v>
      </c>
      <c r="B109" t="s">
        <v>304</v>
      </c>
      <c r="C109" s="69" t="s">
        <v>279</v>
      </c>
      <c r="D109" s="69" t="s">
        <v>309</v>
      </c>
      <c r="E109" s="1">
        <v>232.41</v>
      </c>
      <c r="F109">
        <v>2</v>
      </c>
      <c r="G109" t="s">
        <v>265</v>
      </c>
    </row>
    <row r="110" spans="1:8" x14ac:dyDescent="0.25">
      <c r="A110" s="57" t="s">
        <v>305</v>
      </c>
      <c r="B110" t="s">
        <v>306</v>
      </c>
      <c r="C110" s="69" t="s">
        <v>279</v>
      </c>
      <c r="D110" s="69" t="s">
        <v>309</v>
      </c>
      <c r="E110" s="1">
        <v>112.72</v>
      </c>
      <c r="F110">
        <v>2</v>
      </c>
      <c r="G110" t="s">
        <v>265</v>
      </c>
    </row>
    <row r="111" spans="1:8" x14ac:dyDescent="0.25">
      <c r="A111" s="57" t="s">
        <v>305</v>
      </c>
      <c r="B111" t="s">
        <v>307</v>
      </c>
      <c r="C111" s="69" t="s">
        <v>279</v>
      </c>
      <c r="D111" s="69" t="s">
        <v>309</v>
      </c>
      <c r="E111" s="1">
        <v>169.08</v>
      </c>
      <c r="F111">
        <v>2</v>
      </c>
      <c r="G111" t="s">
        <v>265</v>
      </c>
    </row>
    <row r="112" spans="1:8" x14ac:dyDescent="0.25">
      <c r="A112" s="57">
        <v>410</v>
      </c>
      <c r="B112" t="s">
        <v>194</v>
      </c>
      <c r="E112" s="35">
        <v>800</v>
      </c>
      <c r="F112">
        <v>2</v>
      </c>
    </row>
    <row r="113" spans="1:6" x14ac:dyDescent="0.25">
      <c r="A113" s="57">
        <v>420</v>
      </c>
      <c r="B113" t="s">
        <v>195</v>
      </c>
      <c r="E113" s="35">
        <v>800</v>
      </c>
      <c r="F113">
        <v>2</v>
      </c>
    </row>
    <row r="136" spans="1:7" x14ac:dyDescent="0.25">
      <c r="A136" t="s">
        <v>23</v>
      </c>
      <c r="B136">
        <v>100</v>
      </c>
      <c r="C136" s="69">
        <v>10</v>
      </c>
      <c r="E136" s="1">
        <v>6</v>
      </c>
      <c r="F136">
        <f>0.48*1.48</f>
        <v>0.71039999999999992</v>
      </c>
      <c r="G136" s="1">
        <f>F136*E84*F84</f>
        <v>8675.4047999999984</v>
      </c>
    </row>
    <row r="137" spans="1:7" x14ac:dyDescent="0.25">
      <c r="A137" t="s">
        <v>25</v>
      </c>
      <c r="G137" s="1">
        <f>E86*F86</f>
        <v>9930</v>
      </c>
    </row>
    <row r="138" spans="1:7" x14ac:dyDescent="0.25">
      <c r="A138" t="s">
        <v>24</v>
      </c>
      <c r="G138">
        <v>3584</v>
      </c>
    </row>
  </sheetData>
  <phoneticPr fontId="8" type="noConversion"/>
  <hyperlinks>
    <hyperlink ref="K2" r:id="rId1" xr:uid="{005B06F0-E335-4BB7-9B9B-A91CF163ED4D}"/>
  </hyperlinks>
  <pageMargins left="0.7" right="0.7" top="0.75" bottom="0.75" header="0.3" footer="0.3"/>
  <pageSetup paperSize="9" orientation="portrait"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1A60C4-A7BF-42C5-8F5E-D82510636FD8}">
  <sheetPr codeName="Hoja2"/>
  <dimension ref="A1:K122"/>
  <sheetViews>
    <sheetView tabSelected="1" topLeftCell="B1" workbookViewId="0">
      <pane ySplit="1" topLeftCell="A106" activePane="bottomLeft" state="frozen"/>
      <selection pane="bottomLeft" activeCell="K109" sqref="K109"/>
    </sheetView>
  </sheetViews>
  <sheetFormatPr baseColWidth="10" defaultRowHeight="15" x14ac:dyDescent="0.25"/>
  <cols>
    <col min="1" max="1" width="20.28515625" bestFit="1" customWidth="1"/>
    <col min="2" max="2" width="27.42578125" bestFit="1" customWidth="1"/>
    <col min="3" max="3" width="9.85546875" bestFit="1" customWidth="1"/>
    <col min="4" max="4" width="9.7109375" bestFit="1" customWidth="1"/>
    <col min="5" max="5" width="171.85546875" bestFit="1" customWidth="1"/>
    <col min="6" max="7" width="10.140625" style="1" bestFit="1" customWidth="1"/>
    <col min="8" max="8" width="10.85546875" style="1" bestFit="1" customWidth="1"/>
    <col min="9" max="9" width="14.7109375" bestFit="1" customWidth="1"/>
    <col min="10" max="10" width="13.140625" bestFit="1" customWidth="1"/>
    <col min="11" max="11" width="17.85546875" bestFit="1" customWidth="1"/>
  </cols>
  <sheetData>
    <row r="1" spans="1:11" s="31" customFormat="1" ht="15.75" x14ac:dyDescent="0.25">
      <c r="A1" s="31" t="s">
        <v>1</v>
      </c>
      <c r="B1" s="31" t="s">
        <v>2</v>
      </c>
      <c r="C1" s="31" t="s">
        <v>3</v>
      </c>
      <c r="D1" s="31" t="s">
        <v>46</v>
      </c>
      <c r="E1" s="31" t="s">
        <v>20</v>
      </c>
      <c r="F1" s="32" t="s">
        <v>5</v>
      </c>
      <c r="G1" s="32" t="s">
        <v>4</v>
      </c>
      <c r="H1" s="32" t="s">
        <v>6</v>
      </c>
      <c r="I1" s="31" t="s">
        <v>7</v>
      </c>
      <c r="J1" s="31" t="s">
        <v>28</v>
      </c>
      <c r="K1" s="31" t="s">
        <v>268</v>
      </c>
    </row>
    <row r="2" spans="1:11" x14ac:dyDescent="0.25">
      <c r="A2" s="4">
        <v>44379</v>
      </c>
      <c r="B2" t="s">
        <v>29</v>
      </c>
      <c r="C2" t="s">
        <v>30</v>
      </c>
      <c r="E2" t="s">
        <v>31</v>
      </c>
      <c r="F2" s="1">
        <v>3505</v>
      </c>
      <c r="I2" s="4">
        <v>44382</v>
      </c>
    </row>
    <row r="3" spans="1:11" x14ac:dyDescent="0.25">
      <c r="A3" s="4">
        <v>44379</v>
      </c>
      <c r="B3" t="s">
        <v>29</v>
      </c>
      <c r="C3" t="s">
        <v>30</v>
      </c>
      <c r="E3" t="s">
        <v>32</v>
      </c>
      <c r="F3" s="1">
        <v>5992</v>
      </c>
      <c r="I3" s="4">
        <v>44382</v>
      </c>
    </row>
    <row r="4" spans="1:11" x14ac:dyDescent="0.25">
      <c r="A4" s="4">
        <v>44379</v>
      </c>
      <c r="B4" t="s">
        <v>29</v>
      </c>
      <c r="C4" t="s">
        <v>30</v>
      </c>
      <c r="E4" t="s">
        <v>33</v>
      </c>
      <c r="F4" s="1">
        <v>4172</v>
      </c>
      <c r="I4" s="4">
        <v>44382</v>
      </c>
    </row>
    <row r="5" spans="1:11" ht="15.75" thickBot="1" x14ac:dyDescent="0.3">
      <c r="A5" s="4">
        <v>44379</v>
      </c>
      <c r="B5" t="s">
        <v>29</v>
      </c>
      <c r="C5" t="s">
        <v>30</v>
      </c>
      <c r="E5" t="s">
        <v>34</v>
      </c>
      <c r="F5" s="1">
        <v>7134</v>
      </c>
      <c r="I5" s="4">
        <v>44382</v>
      </c>
    </row>
    <row r="6" spans="1:11" ht="15.75" thickBot="1" x14ac:dyDescent="0.3">
      <c r="E6" s="7" t="s">
        <v>26</v>
      </c>
      <c r="F6" s="5">
        <f>SUM(F2:F5)</f>
        <v>20803</v>
      </c>
      <c r="G6" s="5"/>
      <c r="H6" s="5">
        <f>F6-G6</f>
        <v>20803</v>
      </c>
      <c r="I6" s="6">
        <v>44381</v>
      </c>
      <c r="J6" s="8">
        <v>10030114644</v>
      </c>
    </row>
    <row r="7" spans="1:11" x14ac:dyDescent="0.25">
      <c r="A7" s="4">
        <v>44400</v>
      </c>
      <c r="B7" t="s">
        <v>35</v>
      </c>
      <c r="C7" t="s">
        <v>36</v>
      </c>
      <c r="E7" t="s">
        <v>37</v>
      </c>
      <c r="F7" s="1">
        <v>5215</v>
      </c>
      <c r="I7" s="4">
        <v>44403</v>
      </c>
    </row>
    <row r="8" spans="1:11" x14ac:dyDescent="0.25">
      <c r="A8" s="4">
        <v>44400</v>
      </c>
      <c r="B8" t="s">
        <v>35</v>
      </c>
      <c r="C8" t="s">
        <v>36</v>
      </c>
      <c r="E8" t="s">
        <v>38</v>
      </c>
      <c r="F8" s="1">
        <v>10430</v>
      </c>
      <c r="I8" s="4">
        <v>44403</v>
      </c>
    </row>
    <row r="9" spans="1:11" x14ac:dyDescent="0.25">
      <c r="A9" s="4">
        <v>44400</v>
      </c>
      <c r="B9" t="s">
        <v>35</v>
      </c>
      <c r="C9" t="s">
        <v>36</v>
      </c>
      <c r="E9" t="s">
        <v>39</v>
      </c>
      <c r="F9" s="1">
        <v>31289</v>
      </c>
      <c r="I9" s="4">
        <v>44403</v>
      </c>
    </row>
    <row r="10" spans="1:11" ht="15.75" thickBot="1" x14ac:dyDescent="0.3">
      <c r="A10" s="4">
        <v>44400</v>
      </c>
      <c r="B10" t="s">
        <v>35</v>
      </c>
      <c r="C10" t="s">
        <v>36</v>
      </c>
      <c r="E10" t="s">
        <v>40</v>
      </c>
      <c r="F10" s="1">
        <v>52148</v>
      </c>
      <c r="I10" s="4">
        <v>44403</v>
      </c>
    </row>
    <row r="11" spans="1:11" ht="15.75" thickBot="1" x14ac:dyDescent="0.3">
      <c r="E11" s="7" t="s">
        <v>26</v>
      </c>
      <c r="F11" s="5">
        <f>SUM(F7:F10)</f>
        <v>99082</v>
      </c>
      <c r="G11" s="5"/>
      <c r="H11" s="5">
        <f>F11-G11</f>
        <v>99082</v>
      </c>
      <c r="I11" s="6">
        <v>44402</v>
      </c>
      <c r="J11" s="8">
        <v>10030114645</v>
      </c>
    </row>
    <row r="12" spans="1:11" x14ac:dyDescent="0.25">
      <c r="A12" s="4">
        <v>44400</v>
      </c>
      <c r="B12" t="s">
        <v>41</v>
      </c>
      <c r="C12" t="s">
        <v>30</v>
      </c>
      <c r="E12" t="s">
        <v>42</v>
      </c>
      <c r="F12" s="1">
        <v>548</v>
      </c>
      <c r="I12" s="4">
        <v>44403</v>
      </c>
    </row>
    <row r="13" spans="1:11" x14ac:dyDescent="0.25">
      <c r="A13" s="4">
        <v>44400</v>
      </c>
      <c r="B13" t="s">
        <v>41</v>
      </c>
      <c r="C13" t="s">
        <v>30</v>
      </c>
      <c r="E13" t="s">
        <v>43</v>
      </c>
      <c r="F13" s="1">
        <v>785</v>
      </c>
      <c r="I13" s="4">
        <v>44403</v>
      </c>
    </row>
    <row r="14" spans="1:11" x14ac:dyDescent="0.25">
      <c r="A14" s="4">
        <v>44400</v>
      </c>
      <c r="B14" t="s">
        <v>41</v>
      </c>
      <c r="C14" t="s">
        <v>30</v>
      </c>
      <c r="E14" t="s">
        <v>44</v>
      </c>
      <c r="F14" s="1">
        <v>1644</v>
      </c>
      <c r="I14" s="4">
        <v>44403</v>
      </c>
    </row>
    <row r="15" spans="1:11" ht="15.75" thickBot="1" x14ac:dyDescent="0.3">
      <c r="A15" s="4">
        <v>44400</v>
      </c>
      <c r="B15" t="s">
        <v>41</v>
      </c>
      <c r="C15" t="s">
        <v>30</v>
      </c>
      <c r="E15" t="s">
        <v>45</v>
      </c>
      <c r="F15" s="1">
        <v>2354</v>
      </c>
      <c r="I15" s="4">
        <v>44403</v>
      </c>
    </row>
    <row r="16" spans="1:11" ht="15.75" thickBot="1" x14ac:dyDescent="0.3">
      <c r="E16" s="7" t="s">
        <v>26</v>
      </c>
      <c r="F16" s="5">
        <f>SUM(F12:F15)</f>
        <v>5331</v>
      </c>
      <c r="G16" s="5"/>
      <c r="H16" s="5">
        <f>F16-G16</f>
        <v>5331</v>
      </c>
      <c r="I16" s="6">
        <v>44402</v>
      </c>
      <c r="J16" s="8">
        <v>10030114646</v>
      </c>
    </row>
    <row r="17" spans="1:10" x14ac:dyDescent="0.25">
      <c r="A17" s="4">
        <v>44468</v>
      </c>
      <c r="B17" t="s">
        <v>59</v>
      </c>
      <c r="C17" t="s">
        <v>30</v>
      </c>
      <c r="E17" t="s">
        <v>60</v>
      </c>
      <c r="F17" s="1">
        <v>3738</v>
      </c>
      <c r="I17" s="4">
        <v>44470</v>
      </c>
    </row>
    <row r="18" spans="1:10" x14ac:dyDescent="0.25">
      <c r="A18" s="4">
        <v>44468</v>
      </c>
      <c r="B18" t="s">
        <v>59</v>
      </c>
      <c r="C18" t="s">
        <v>30</v>
      </c>
      <c r="E18" t="s">
        <v>61</v>
      </c>
      <c r="F18" s="1">
        <v>6390</v>
      </c>
      <c r="I18" s="4">
        <v>44470</v>
      </c>
    </row>
    <row r="19" spans="1:10" x14ac:dyDescent="0.25">
      <c r="A19" s="4">
        <v>44468</v>
      </c>
      <c r="B19" t="s">
        <v>59</v>
      </c>
      <c r="C19" t="s">
        <v>30</v>
      </c>
      <c r="E19" t="s">
        <v>62</v>
      </c>
      <c r="F19" s="1">
        <v>5503</v>
      </c>
      <c r="I19" s="4">
        <v>44470</v>
      </c>
    </row>
    <row r="20" spans="1:10" x14ac:dyDescent="0.25">
      <c r="A20" s="4">
        <v>44468</v>
      </c>
      <c r="B20" t="s">
        <v>59</v>
      </c>
      <c r="C20" t="s">
        <v>30</v>
      </c>
      <c r="E20" t="s">
        <v>63</v>
      </c>
      <c r="F20" s="1">
        <v>8155</v>
      </c>
      <c r="I20" s="4">
        <v>44470</v>
      </c>
    </row>
    <row r="21" spans="1:10" x14ac:dyDescent="0.25">
      <c r="A21" s="4">
        <v>44468</v>
      </c>
      <c r="B21" t="s">
        <v>59</v>
      </c>
      <c r="C21" t="s">
        <v>30</v>
      </c>
      <c r="E21" t="s">
        <v>60</v>
      </c>
      <c r="F21" s="1">
        <v>3505</v>
      </c>
      <c r="I21" s="4">
        <v>44470</v>
      </c>
    </row>
    <row r="22" spans="1:10" x14ac:dyDescent="0.25">
      <c r="A22" s="4">
        <v>44468</v>
      </c>
      <c r="B22" t="s">
        <v>59</v>
      </c>
      <c r="C22" t="s">
        <v>30</v>
      </c>
      <c r="E22" t="s">
        <v>61</v>
      </c>
      <c r="F22" s="1">
        <v>5992</v>
      </c>
      <c r="I22" s="4">
        <v>44470</v>
      </c>
    </row>
    <row r="23" spans="1:10" x14ac:dyDescent="0.25">
      <c r="A23" s="4">
        <v>44468</v>
      </c>
      <c r="B23" t="s">
        <v>59</v>
      </c>
      <c r="C23" t="s">
        <v>30</v>
      </c>
      <c r="E23" t="s">
        <v>62</v>
      </c>
      <c r="F23" s="1">
        <v>5158</v>
      </c>
      <c r="I23" s="4">
        <v>44470</v>
      </c>
    </row>
    <row r="24" spans="1:10" ht="15.75" thickBot="1" x14ac:dyDescent="0.3">
      <c r="A24" s="4">
        <v>44468</v>
      </c>
      <c r="B24" t="s">
        <v>59</v>
      </c>
      <c r="C24" t="s">
        <v>30</v>
      </c>
      <c r="E24" t="s">
        <v>63</v>
      </c>
      <c r="F24" s="1">
        <v>7645</v>
      </c>
      <c r="I24" s="4">
        <v>44470</v>
      </c>
    </row>
    <row r="25" spans="1:10" ht="15.75" thickBot="1" x14ac:dyDescent="0.3">
      <c r="E25" s="7" t="s">
        <v>26</v>
      </c>
      <c r="F25" s="5">
        <f>SUM(F17:F24)</f>
        <v>46086</v>
      </c>
      <c r="G25" s="5"/>
      <c r="H25" s="5">
        <f>F25-G25</f>
        <v>46086</v>
      </c>
      <c r="I25" s="28"/>
      <c r="J25" s="8">
        <v>10030114648</v>
      </c>
    </row>
    <row r="26" spans="1:10" x14ac:dyDescent="0.25">
      <c r="A26" s="4">
        <v>44532</v>
      </c>
      <c r="B26" t="s">
        <v>64</v>
      </c>
      <c r="E26" t="s">
        <v>65</v>
      </c>
      <c r="F26" s="1">
        <v>4616</v>
      </c>
      <c r="I26" s="4">
        <v>44536</v>
      </c>
    </row>
    <row r="27" spans="1:10" x14ac:dyDescent="0.25">
      <c r="A27" s="4">
        <v>44532</v>
      </c>
      <c r="B27" t="s">
        <v>64</v>
      </c>
      <c r="E27" t="s">
        <v>65</v>
      </c>
      <c r="F27" s="1">
        <v>6924</v>
      </c>
      <c r="I27" s="4">
        <v>44536</v>
      </c>
    </row>
    <row r="28" spans="1:10" x14ac:dyDescent="0.25">
      <c r="A28" s="4">
        <v>44532</v>
      </c>
      <c r="B28" t="s">
        <v>64</v>
      </c>
      <c r="E28" t="s">
        <v>65</v>
      </c>
      <c r="F28" s="1">
        <v>13847</v>
      </c>
      <c r="I28" s="4">
        <v>44536</v>
      </c>
    </row>
    <row r="29" spans="1:10" x14ac:dyDescent="0.25">
      <c r="A29" s="4">
        <v>44532</v>
      </c>
      <c r="B29" t="s">
        <v>64</v>
      </c>
      <c r="E29" t="s">
        <v>66</v>
      </c>
      <c r="F29" s="1">
        <v>6924</v>
      </c>
      <c r="I29" s="4">
        <v>44536</v>
      </c>
    </row>
    <row r="30" spans="1:10" x14ac:dyDescent="0.25">
      <c r="A30" s="4">
        <v>44532</v>
      </c>
      <c r="B30" t="s">
        <v>64</v>
      </c>
      <c r="E30" t="s">
        <v>66</v>
      </c>
      <c r="F30" s="1">
        <v>13709</v>
      </c>
      <c r="I30" s="4">
        <v>44536</v>
      </c>
    </row>
    <row r="31" spans="1:10" x14ac:dyDescent="0.25">
      <c r="A31" s="4">
        <v>44532</v>
      </c>
      <c r="B31" t="s">
        <v>64</v>
      </c>
      <c r="E31" t="s">
        <v>66</v>
      </c>
      <c r="F31" s="1">
        <v>22155</v>
      </c>
      <c r="I31" s="4">
        <v>44536</v>
      </c>
    </row>
    <row r="32" spans="1:10" x14ac:dyDescent="0.25">
      <c r="A32" s="4">
        <v>44532</v>
      </c>
      <c r="B32" t="s">
        <v>64</v>
      </c>
      <c r="E32" t="s">
        <v>67</v>
      </c>
      <c r="F32" s="1">
        <v>1296</v>
      </c>
      <c r="I32" s="4">
        <v>44536</v>
      </c>
    </row>
    <row r="33" spans="1:10" x14ac:dyDescent="0.25">
      <c r="A33" s="4">
        <v>44532</v>
      </c>
      <c r="B33" t="s">
        <v>64</v>
      </c>
      <c r="E33" t="s">
        <v>68</v>
      </c>
      <c r="F33" s="1">
        <v>3139</v>
      </c>
      <c r="I33" s="4">
        <v>44536</v>
      </c>
    </row>
    <row r="34" spans="1:10" ht="15.75" thickBot="1" x14ac:dyDescent="0.3">
      <c r="A34" s="4">
        <v>44532</v>
      </c>
      <c r="B34" t="s">
        <v>64</v>
      </c>
      <c r="E34" t="s">
        <v>67</v>
      </c>
      <c r="F34" s="1">
        <v>6609</v>
      </c>
      <c r="I34" s="4">
        <v>44536</v>
      </c>
    </row>
    <row r="35" spans="1:10" ht="15.75" thickBot="1" x14ac:dyDescent="0.3">
      <c r="E35" s="7" t="s">
        <v>26</v>
      </c>
      <c r="F35" s="5">
        <f>SUM(F26:F34)</f>
        <v>79219</v>
      </c>
      <c r="G35" s="5"/>
      <c r="H35" s="5">
        <f>F35-G35</f>
        <v>79219</v>
      </c>
      <c r="I35" s="28"/>
      <c r="J35" s="8">
        <v>10030114649</v>
      </c>
    </row>
    <row r="36" spans="1:10" x14ac:dyDescent="0.25">
      <c r="A36" s="4">
        <v>44532</v>
      </c>
      <c r="B36" t="s">
        <v>69</v>
      </c>
      <c r="C36" t="s">
        <v>30</v>
      </c>
      <c r="E36" t="s">
        <v>70</v>
      </c>
      <c r="F36" s="1">
        <v>13164</v>
      </c>
      <c r="I36" s="4">
        <v>44536</v>
      </c>
    </row>
    <row r="37" spans="1:10" x14ac:dyDescent="0.25">
      <c r="A37" s="4">
        <v>44532</v>
      </c>
      <c r="B37" t="s">
        <v>69</v>
      </c>
      <c r="C37" t="s">
        <v>30</v>
      </c>
      <c r="E37" t="s">
        <v>71</v>
      </c>
      <c r="F37" s="1">
        <v>20977</v>
      </c>
      <c r="I37" s="4">
        <v>44536</v>
      </c>
    </row>
    <row r="38" spans="1:10" ht="15.75" thickBot="1" x14ac:dyDescent="0.3">
      <c r="A38" s="4">
        <v>44532</v>
      </c>
      <c r="B38" t="s">
        <v>69</v>
      </c>
      <c r="C38" t="s">
        <v>30</v>
      </c>
      <c r="E38" t="s">
        <v>72</v>
      </c>
      <c r="F38" s="1">
        <v>33232</v>
      </c>
      <c r="I38" s="4">
        <v>44536</v>
      </c>
    </row>
    <row r="39" spans="1:10" ht="15.75" thickBot="1" x14ac:dyDescent="0.3">
      <c r="E39" s="7" t="s">
        <v>26</v>
      </c>
      <c r="F39" s="5">
        <f>SUM(F36:F38)</f>
        <v>67373</v>
      </c>
      <c r="G39" s="5"/>
      <c r="H39" s="5">
        <f>F39-G39</f>
        <v>67373</v>
      </c>
      <c r="I39" s="28"/>
      <c r="J39" s="8">
        <v>10030114650</v>
      </c>
    </row>
    <row r="40" spans="1:10" x14ac:dyDescent="0.25">
      <c r="A40" s="4">
        <v>44539</v>
      </c>
      <c r="B40" t="s">
        <v>73</v>
      </c>
      <c r="C40" t="s">
        <v>30</v>
      </c>
      <c r="E40" t="s">
        <v>74</v>
      </c>
      <c r="F40" s="1">
        <v>8764</v>
      </c>
      <c r="I40" s="4">
        <v>44543</v>
      </c>
    </row>
    <row r="41" spans="1:10" x14ac:dyDescent="0.25">
      <c r="A41" s="4">
        <v>44539</v>
      </c>
      <c r="B41" t="s">
        <v>73</v>
      </c>
      <c r="C41" t="s">
        <v>30</v>
      </c>
      <c r="E41" t="s">
        <v>75</v>
      </c>
      <c r="F41" s="1">
        <v>4873</v>
      </c>
      <c r="I41" s="4">
        <v>44543</v>
      </c>
    </row>
    <row r="42" spans="1:10" x14ac:dyDescent="0.25">
      <c r="A42" s="4">
        <v>44539</v>
      </c>
      <c r="B42" t="s">
        <v>73</v>
      </c>
      <c r="C42" t="s">
        <v>30</v>
      </c>
      <c r="E42" t="s">
        <v>76</v>
      </c>
      <c r="F42" s="1">
        <v>8764</v>
      </c>
      <c r="I42" s="4">
        <v>44543</v>
      </c>
    </row>
    <row r="43" spans="1:10" x14ac:dyDescent="0.25">
      <c r="A43" s="4">
        <v>44539</v>
      </c>
      <c r="B43" t="s">
        <v>73</v>
      </c>
      <c r="C43" t="s">
        <v>30</v>
      </c>
      <c r="E43" t="s">
        <v>77</v>
      </c>
      <c r="F43" s="1">
        <v>6609</v>
      </c>
      <c r="I43" s="4">
        <v>44543</v>
      </c>
    </row>
    <row r="44" spans="1:10" ht="15.75" thickBot="1" x14ac:dyDescent="0.3">
      <c r="A44" s="4">
        <v>44539</v>
      </c>
      <c r="B44" t="s">
        <v>73</v>
      </c>
      <c r="C44" t="s">
        <v>30</v>
      </c>
      <c r="E44" t="s">
        <v>78</v>
      </c>
      <c r="F44" s="1">
        <v>13847</v>
      </c>
      <c r="I44" s="4">
        <v>44543</v>
      </c>
    </row>
    <row r="45" spans="1:10" ht="15.75" thickBot="1" x14ac:dyDescent="0.3">
      <c r="E45" s="7" t="s">
        <v>26</v>
      </c>
      <c r="F45" s="5">
        <f>SUM(F40:F44)</f>
        <v>42857</v>
      </c>
      <c r="G45" s="5"/>
      <c r="H45" s="5">
        <f>F45-G45</f>
        <v>42857</v>
      </c>
      <c r="I45" s="28"/>
      <c r="J45" s="8">
        <v>10030114651</v>
      </c>
    </row>
    <row r="46" spans="1:10" x14ac:dyDescent="0.25">
      <c r="A46" s="4">
        <v>44539</v>
      </c>
      <c r="B46" t="s">
        <v>73</v>
      </c>
      <c r="C46" t="s">
        <v>30</v>
      </c>
      <c r="E46" t="s">
        <v>79</v>
      </c>
      <c r="F46" s="1">
        <v>8764</v>
      </c>
      <c r="I46" s="4">
        <v>44543</v>
      </c>
    </row>
    <row r="47" spans="1:10" x14ac:dyDescent="0.25">
      <c r="A47" s="4">
        <v>44546</v>
      </c>
      <c r="B47" t="s">
        <v>80</v>
      </c>
      <c r="C47" t="s">
        <v>30</v>
      </c>
      <c r="E47" t="s">
        <v>81</v>
      </c>
      <c r="F47" s="1">
        <v>966</v>
      </c>
      <c r="I47" s="4">
        <v>44550</v>
      </c>
    </row>
    <row r="48" spans="1:10" x14ac:dyDescent="0.25">
      <c r="A48" s="4">
        <v>44546</v>
      </c>
      <c r="B48" t="s">
        <v>80</v>
      </c>
      <c r="C48" t="s">
        <v>30</v>
      </c>
      <c r="E48" t="s">
        <v>81</v>
      </c>
      <c r="F48" s="1">
        <v>2897</v>
      </c>
      <c r="I48" s="4">
        <v>44550</v>
      </c>
    </row>
    <row r="49" spans="1:10" x14ac:dyDescent="0.25">
      <c r="A49" s="4">
        <v>44546</v>
      </c>
      <c r="B49" t="s">
        <v>80</v>
      </c>
      <c r="C49" t="s">
        <v>30</v>
      </c>
      <c r="E49" t="s">
        <v>81</v>
      </c>
      <c r="F49" s="1">
        <v>6019</v>
      </c>
      <c r="I49" s="4">
        <v>44550</v>
      </c>
    </row>
    <row r="50" spans="1:10" x14ac:dyDescent="0.25">
      <c r="A50" s="4">
        <v>44546</v>
      </c>
      <c r="B50" t="s">
        <v>80</v>
      </c>
      <c r="C50" t="s">
        <v>30</v>
      </c>
      <c r="E50" t="s">
        <v>81</v>
      </c>
      <c r="F50" s="1">
        <v>2189</v>
      </c>
      <c r="I50" s="4">
        <v>44550</v>
      </c>
    </row>
    <row r="51" spans="1:10" x14ac:dyDescent="0.25">
      <c r="A51" s="4">
        <v>44546</v>
      </c>
      <c r="B51" t="s">
        <v>80</v>
      </c>
      <c r="C51" t="s">
        <v>30</v>
      </c>
      <c r="E51" t="s">
        <v>81</v>
      </c>
      <c r="F51" s="1">
        <v>1964</v>
      </c>
      <c r="I51" s="4">
        <v>44550</v>
      </c>
    </row>
    <row r="52" spans="1:10" ht="15.75" thickBot="1" x14ac:dyDescent="0.3">
      <c r="A52" s="4">
        <v>44546</v>
      </c>
      <c r="B52" t="s">
        <v>80</v>
      </c>
      <c r="C52" t="s">
        <v>30</v>
      </c>
      <c r="E52" t="s">
        <v>81</v>
      </c>
      <c r="F52" s="1">
        <v>5499</v>
      </c>
      <c r="I52" s="4">
        <v>44550</v>
      </c>
    </row>
    <row r="53" spans="1:10" ht="15.75" thickBot="1" x14ac:dyDescent="0.3">
      <c r="E53" s="7" t="s">
        <v>26</v>
      </c>
      <c r="F53" s="5">
        <f>SUM(F47:F52)</f>
        <v>19534</v>
      </c>
      <c r="G53" s="5"/>
      <c r="H53" s="5">
        <f>F53-G53</f>
        <v>19534</v>
      </c>
      <c r="I53" s="28"/>
      <c r="J53" s="8">
        <v>10030114652</v>
      </c>
    </row>
    <row r="54" spans="1:10" x14ac:dyDescent="0.25">
      <c r="A54" s="4">
        <v>44546</v>
      </c>
      <c r="B54" t="s">
        <v>82</v>
      </c>
      <c r="C54" t="s">
        <v>30</v>
      </c>
      <c r="E54" t="s">
        <v>83</v>
      </c>
      <c r="F54" s="1">
        <v>7809</v>
      </c>
      <c r="I54" s="4">
        <v>44550</v>
      </c>
    </row>
    <row r="55" spans="1:10" x14ac:dyDescent="0.25">
      <c r="A55" s="4">
        <v>44546</v>
      </c>
      <c r="B55" t="s">
        <v>82</v>
      </c>
      <c r="C55" t="s">
        <v>30</v>
      </c>
      <c r="E55" t="s">
        <v>84</v>
      </c>
      <c r="F55" s="1">
        <v>2499</v>
      </c>
      <c r="I55" s="4">
        <v>44550</v>
      </c>
    </row>
    <row r="56" spans="1:10" ht="15.75" thickBot="1" x14ac:dyDescent="0.3">
      <c r="A56" s="4">
        <v>44546</v>
      </c>
      <c r="B56" t="s">
        <v>82</v>
      </c>
      <c r="C56" t="s">
        <v>30</v>
      </c>
      <c r="E56" t="s">
        <v>85</v>
      </c>
      <c r="F56" s="1">
        <v>293</v>
      </c>
      <c r="I56" s="4">
        <v>44550</v>
      </c>
    </row>
    <row r="57" spans="1:10" ht="15.75" thickBot="1" x14ac:dyDescent="0.3">
      <c r="E57" s="7" t="s">
        <v>26</v>
      </c>
      <c r="F57" s="5">
        <f>SUM(F54:F56)</f>
        <v>10601</v>
      </c>
      <c r="G57" s="5"/>
      <c r="H57" s="5">
        <f>F57-G57</f>
        <v>10601</v>
      </c>
      <c r="I57" s="28"/>
      <c r="J57" s="8">
        <v>10030114653</v>
      </c>
    </row>
    <row r="58" spans="1:10" x14ac:dyDescent="0.25">
      <c r="A58" s="4">
        <v>44546</v>
      </c>
      <c r="B58" t="s">
        <v>86</v>
      </c>
      <c r="C58" t="s">
        <v>30</v>
      </c>
      <c r="E58" t="s">
        <v>87</v>
      </c>
      <c r="F58" s="1">
        <v>5027</v>
      </c>
      <c r="I58" s="4">
        <v>44550</v>
      </c>
    </row>
    <row r="59" spans="1:10" ht="15.75" thickBot="1" x14ac:dyDescent="0.3">
      <c r="A59" s="4">
        <v>44546</v>
      </c>
      <c r="B59" t="s">
        <v>86</v>
      </c>
      <c r="C59" t="s">
        <v>30</v>
      </c>
      <c r="E59" t="s">
        <v>87</v>
      </c>
      <c r="F59" s="1">
        <v>3354</v>
      </c>
      <c r="I59" s="4">
        <v>44550</v>
      </c>
    </row>
    <row r="60" spans="1:10" ht="15.75" thickBot="1" x14ac:dyDescent="0.3">
      <c r="E60" s="7" t="s">
        <v>26</v>
      </c>
      <c r="F60" s="5">
        <f>SUM(F58:F59)</f>
        <v>8381</v>
      </c>
      <c r="G60" s="5"/>
      <c r="H60" s="5">
        <f>F60-G60</f>
        <v>8381</v>
      </c>
      <c r="I60" s="28"/>
      <c r="J60" s="8">
        <v>10030114654</v>
      </c>
    </row>
    <row r="61" spans="1:10" x14ac:dyDescent="0.25">
      <c r="A61" s="4">
        <v>44546</v>
      </c>
      <c r="B61" t="s">
        <v>88</v>
      </c>
      <c r="C61" t="s">
        <v>30</v>
      </c>
      <c r="E61" t="s">
        <v>61</v>
      </c>
      <c r="F61" s="1">
        <v>940</v>
      </c>
      <c r="I61" s="4">
        <v>44550</v>
      </c>
    </row>
    <row r="62" spans="1:10" ht="15.75" thickBot="1" x14ac:dyDescent="0.3">
      <c r="A62" s="4">
        <v>44546</v>
      </c>
      <c r="B62" t="s">
        <v>88</v>
      </c>
      <c r="C62" t="s">
        <v>30</v>
      </c>
      <c r="E62" t="s">
        <v>61</v>
      </c>
      <c r="F62" s="1">
        <v>1208</v>
      </c>
      <c r="I62" s="4">
        <v>44550</v>
      </c>
    </row>
    <row r="63" spans="1:10" ht="15.75" thickBot="1" x14ac:dyDescent="0.3">
      <c r="E63" s="7" t="s">
        <v>26</v>
      </c>
      <c r="F63" s="5">
        <f>SUM(F61:F62)</f>
        <v>2148</v>
      </c>
      <c r="G63" s="5"/>
      <c r="H63" s="5">
        <f>F63-G63</f>
        <v>2148</v>
      </c>
      <c r="I63" s="28"/>
      <c r="J63" s="8">
        <v>10030114655</v>
      </c>
    </row>
    <row r="64" spans="1:10" x14ac:dyDescent="0.25">
      <c r="A64" s="4">
        <v>44546</v>
      </c>
      <c r="B64" t="s">
        <v>89</v>
      </c>
      <c r="C64" t="s">
        <v>30</v>
      </c>
      <c r="E64" t="s">
        <v>90</v>
      </c>
      <c r="F64" s="1">
        <v>832</v>
      </c>
      <c r="I64" s="4">
        <v>44550</v>
      </c>
    </row>
    <row r="65" spans="1:10" x14ac:dyDescent="0.25">
      <c r="A65" s="4">
        <v>44546</v>
      </c>
      <c r="B65" t="s">
        <v>89</v>
      </c>
      <c r="C65" t="s">
        <v>30</v>
      </c>
      <c r="E65" t="s">
        <v>90</v>
      </c>
      <c r="F65" s="1">
        <v>3659</v>
      </c>
      <c r="I65" s="4">
        <v>44550</v>
      </c>
    </row>
    <row r="66" spans="1:10" ht="15.75" thickBot="1" x14ac:dyDescent="0.3">
      <c r="A66" s="4">
        <v>44546</v>
      </c>
      <c r="B66" t="s">
        <v>89</v>
      </c>
      <c r="C66" t="s">
        <v>30</v>
      </c>
      <c r="E66" t="s">
        <v>90</v>
      </c>
      <c r="F66" s="1">
        <v>7317</v>
      </c>
      <c r="I66" s="4">
        <v>44550</v>
      </c>
    </row>
    <row r="67" spans="1:10" ht="15.75" thickBot="1" x14ac:dyDescent="0.3">
      <c r="E67" s="7" t="s">
        <v>26</v>
      </c>
      <c r="F67" s="5">
        <f>SUM(F64:F66)</f>
        <v>11808</v>
      </c>
      <c r="G67" s="5"/>
      <c r="H67" s="5">
        <f>F67-G67</f>
        <v>11808</v>
      </c>
      <c r="I67" s="28"/>
      <c r="J67" s="8">
        <v>10030114656</v>
      </c>
    </row>
    <row r="68" spans="1:10" x14ac:dyDescent="0.25">
      <c r="A68" s="4">
        <v>44546</v>
      </c>
      <c r="B68" t="s">
        <v>88</v>
      </c>
      <c r="C68" t="s">
        <v>30</v>
      </c>
      <c r="E68" t="s">
        <v>91</v>
      </c>
      <c r="F68" s="1">
        <v>572</v>
      </c>
      <c r="I68" s="4">
        <v>44550</v>
      </c>
    </row>
    <row r="69" spans="1:10" ht="15.75" thickBot="1" x14ac:dyDescent="0.3">
      <c r="A69" s="4">
        <v>44546</v>
      </c>
      <c r="B69" t="s">
        <v>88</v>
      </c>
      <c r="C69" t="s">
        <v>30</v>
      </c>
      <c r="E69" t="s">
        <v>91</v>
      </c>
      <c r="F69" s="1">
        <v>735</v>
      </c>
      <c r="I69" s="4">
        <v>44550</v>
      </c>
    </row>
    <row r="70" spans="1:10" ht="15.75" thickBot="1" x14ac:dyDescent="0.3">
      <c r="E70" s="7" t="s">
        <v>26</v>
      </c>
      <c r="F70" s="5">
        <f>SUM(F68:F69)</f>
        <v>1307</v>
      </c>
      <c r="G70" s="5"/>
      <c r="H70" s="5">
        <f>F70-G70</f>
        <v>1307</v>
      </c>
      <c r="I70" s="28"/>
      <c r="J70" s="8">
        <v>10030114657</v>
      </c>
    </row>
    <row r="71" spans="1:10" x14ac:dyDescent="0.25">
      <c r="A71" s="4">
        <v>44547</v>
      </c>
      <c r="B71" t="s">
        <v>92</v>
      </c>
      <c r="C71" t="s">
        <v>30</v>
      </c>
      <c r="E71" t="s">
        <v>93</v>
      </c>
      <c r="F71" s="1">
        <v>1149</v>
      </c>
      <c r="I71" s="4">
        <v>44550</v>
      </c>
    </row>
    <row r="72" spans="1:10" x14ac:dyDescent="0.25">
      <c r="A72" s="4">
        <v>44547</v>
      </c>
      <c r="B72" t="s">
        <v>92</v>
      </c>
      <c r="C72" t="s">
        <v>30</v>
      </c>
      <c r="E72" t="s">
        <v>93</v>
      </c>
      <c r="F72" s="1">
        <v>3445</v>
      </c>
      <c r="I72" s="4">
        <v>44550</v>
      </c>
    </row>
    <row r="73" spans="1:10" x14ac:dyDescent="0.25">
      <c r="A73" s="4">
        <v>44547</v>
      </c>
      <c r="B73" t="s">
        <v>92</v>
      </c>
      <c r="C73" t="s">
        <v>30</v>
      </c>
      <c r="E73" t="s">
        <v>93</v>
      </c>
      <c r="F73" s="1">
        <v>5455</v>
      </c>
      <c r="I73" s="4">
        <v>44550</v>
      </c>
    </row>
    <row r="74" spans="1:10" ht="15.75" thickBot="1" x14ac:dyDescent="0.3">
      <c r="A74" s="4">
        <v>44547</v>
      </c>
      <c r="B74" t="s">
        <v>92</v>
      </c>
      <c r="C74" t="s">
        <v>30</v>
      </c>
      <c r="E74" t="s">
        <v>93</v>
      </c>
      <c r="F74" s="1">
        <v>8182</v>
      </c>
      <c r="I74" s="4">
        <v>44550</v>
      </c>
    </row>
    <row r="75" spans="1:10" ht="15.75" thickBot="1" x14ac:dyDescent="0.3">
      <c r="E75" s="7" t="s">
        <v>26</v>
      </c>
      <c r="F75" s="5">
        <f>SUM(F71:F74)</f>
        <v>18231</v>
      </c>
      <c r="G75" s="5"/>
      <c r="H75" s="5">
        <f>F75-G75</f>
        <v>18231</v>
      </c>
      <c r="I75" s="28"/>
      <c r="J75" s="8">
        <v>10030114658</v>
      </c>
    </row>
    <row r="76" spans="1:10" x14ac:dyDescent="0.25">
      <c r="A76" s="4">
        <v>44547</v>
      </c>
      <c r="B76" t="s">
        <v>94</v>
      </c>
      <c r="C76" t="s">
        <v>30</v>
      </c>
      <c r="E76" t="s">
        <v>95</v>
      </c>
      <c r="F76" s="1">
        <v>558</v>
      </c>
      <c r="I76" s="4">
        <v>44550</v>
      </c>
    </row>
    <row r="77" spans="1:10" x14ac:dyDescent="0.25">
      <c r="A77" s="4">
        <v>44547</v>
      </c>
      <c r="B77" t="s">
        <v>94</v>
      </c>
      <c r="C77" t="s">
        <v>30</v>
      </c>
      <c r="E77" t="s">
        <v>95</v>
      </c>
      <c r="F77" s="1">
        <v>1535</v>
      </c>
      <c r="I77" s="4">
        <v>44550</v>
      </c>
    </row>
    <row r="78" spans="1:10" x14ac:dyDescent="0.25">
      <c r="A78" s="4">
        <v>44547</v>
      </c>
      <c r="B78" t="s">
        <v>94</v>
      </c>
      <c r="C78" t="s">
        <v>30</v>
      </c>
      <c r="E78" t="s">
        <v>95</v>
      </c>
      <c r="F78" s="1">
        <v>2511</v>
      </c>
      <c r="I78" s="4">
        <v>44550</v>
      </c>
    </row>
    <row r="79" spans="1:10" ht="15.75" thickBot="1" x14ac:dyDescent="0.3">
      <c r="A79" s="4">
        <v>44547</v>
      </c>
      <c r="B79" t="s">
        <v>94</v>
      </c>
      <c r="C79" t="s">
        <v>30</v>
      </c>
      <c r="E79" t="s">
        <v>95</v>
      </c>
      <c r="F79" s="1">
        <v>5021</v>
      </c>
      <c r="I79" s="4">
        <v>44550</v>
      </c>
    </row>
    <row r="80" spans="1:10" ht="15.75" thickBot="1" x14ac:dyDescent="0.3">
      <c r="E80" s="7" t="s">
        <v>26</v>
      </c>
      <c r="F80" s="5">
        <f>SUM(F76:F79)</f>
        <v>9625</v>
      </c>
      <c r="G80" s="5"/>
      <c r="H80" s="5">
        <f>F80-G80</f>
        <v>9625</v>
      </c>
      <c r="I80" s="28"/>
      <c r="J80" s="8">
        <v>10030114659</v>
      </c>
    </row>
    <row r="81" spans="1:10" x14ac:dyDescent="0.25">
      <c r="A81" s="4">
        <v>44679</v>
      </c>
      <c r="B81" t="s">
        <v>100</v>
      </c>
      <c r="C81" t="s">
        <v>30</v>
      </c>
      <c r="E81" t="s">
        <v>17</v>
      </c>
      <c r="F81" s="1">
        <v>881</v>
      </c>
      <c r="I81" s="4">
        <v>44683</v>
      </c>
    </row>
    <row r="82" spans="1:10" ht="15.75" thickBot="1" x14ac:dyDescent="0.3">
      <c r="A82" s="4">
        <v>44679</v>
      </c>
      <c r="B82" t="s">
        <v>100</v>
      </c>
      <c r="C82" t="s">
        <v>30</v>
      </c>
      <c r="E82" t="s">
        <v>60</v>
      </c>
      <c r="F82" s="1">
        <v>1263</v>
      </c>
      <c r="I82" s="4">
        <v>44683</v>
      </c>
    </row>
    <row r="83" spans="1:10" ht="15.75" thickBot="1" x14ac:dyDescent="0.3">
      <c r="E83" s="7" t="s">
        <v>26</v>
      </c>
      <c r="F83" s="5">
        <f>SUM(F81:F82)</f>
        <v>2144</v>
      </c>
      <c r="G83" s="5"/>
      <c r="H83" s="5">
        <f>F83-G83</f>
        <v>2144</v>
      </c>
      <c r="I83" s="6">
        <v>44681</v>
      </c>
      <c r="J83" s="8"/>
    </row>
    <row r="84" spans="1:10" x14ac:dyDescent="0.25">
      <c r="A84" s="4">
        <v>44682</v>
      </c>
      <c r="B84" t="s">
        <v>101</v>
      </c>
      <c r="C84" t="s">
        <v>36</v>
      </c>
      <c r="E84" t="s">
        <v>17</v>
      </c>
      <c r="F84" s="1">
        <v>881</v>
      </c>
      <c r="I84" s="4">
        <v>44684</v>
      </c>
    </row>
    <row r="85" spans="1:10" x14ac:dyDescent="0.25">
      <c r="A85" s="4">
        <v>44682</v>
      </c>
      <c r="B85" t="s">
        <v>101</v>
      </c>
      <c r="C85" t="s">
        <v>36</v>
      </c>
      <c r="E85" t="s">
        <v>17</v>
      </c>
      <c r="F85" s="1">
        <v>881</v>
      </c>
      <c r="I85" s="4">
        <v>44684</v>
      </c>
    </row>
    <row r="86" spans="1:10" ht="15.75" thickBot="1" x14ac:dyDescent="0.3">
      <c r="A86" s="4">
        <v>44682</v>
      </c>
      <c r="B86" t="s">
        <v>101</v>
      </c>
      <c r="C86" t="s">
        <v>36</v>
      </c>
      <c r="E86" t="s">
        <v>17</v>
      </c>
      <c r="F86" s="1">
        <v>881</v>
      </c>
      <c r="I86" s="4">
        <v>44684</v>
      </c>
    </row>
    <row r="87" spans="1:10" ht="15.75" thickBot="1" x14ac:dyDescent="0.3">
      <c r="E87" s="7" t="s">
        <v>26</v>
      </c>
      <c r="F87" s="5">
        <f>SUM(F84:F86)</f>
        <v>2643</v>
      </c>
      <c r="G87" s="5"/>
      <c r="H87" s="5">
        <f>F87-G87</f>
        <v>2643</v>
      </c>
      <c r="I87" s="6">
        <v>44684</v>
      </c>
      <c r="J87" s="8"/>
    </row>
    <row r="88" spans="1:10" ht="15.75" thickBot="1" x14ac:dyDescent="0.3">
      <c r="A88" s="4" t="s">
        <v>144</v>
      </c>
      <c r="B88" t="s">
        <v>117</v>
      </c>
      <c r="C88" t="s">
        <v>30</v>
      </c>
      <c r="E88" t="s">
        <v>118</v>
      </c>
      <c r="F88" s="1">
        <v>1350</v>
      </c>
      <c r="G88" s="1">
        <v>1350</v>
      </c>
      <c r="I88" s="4">
        <v>44720</v>
      </c>
    </row>
    <row r="89" spans="1:10" ht="15.75" thickBot="1" x14ac:dyDescent="0.3">
      <c r="E89" s="7" t="s">
        <v>26</v>
      </c>
      <c r="F89" s="5">
        <f>SUM(F88:F88)</f>
        <v>1350</v>
      </c>
      <c r="G89" s="5"/>
      <c r="H89" s="5">
        <f>F89-G89</f>
        <v>1350</v>
      </c>
      <c r="I89" s="6">
        <v>44720</v>
      </c>
      <c r="J89" s="8"/>
    </row>
    <row r="90" spans="1:10" ht="15.75" thickBot="1" x14ac:dyDescent="0.3">
      <c r="A90" s="4">
        <v>44718</v>
      </c>
      <c r="B90" t="s">
        <v>120</v>
      </c>
      <c r="C90" t="s">
        <v>30</v>
      </c>
      <c r="E90" t="s">
        <v>121</v>
      </c>
      <c r="F90" s="1">
        <v>1950</v>
      </c>
      <c r="I90" s="4">
        <v>44720</v>
      </c>
    </row>
    <row r="91" spans="1:10" ht="15.75" thickBot="1" x14ac:dyDescent="0.3">
      <c r="E91" s="7" t="s">
        <v>26</v>
      </c>
      <c r="F91" s="5">
        <f>SUM(F90:F90)</f>
        <v>1950</v>
      </c>
      <c r="G91" s="5"/>
      <c r="H91" s="5">
        <f>F91-G91</f>
        <v>1950</v>
      </c>
      <c r="I91" s="6">
        <v>44720</v>
      </c>
      <c r="J91" s="8"/>
    </row>
    <row r="92" spans="1:10" x14ac:dyDescent="0.25">
      <c r="A92" s="4">
        <v>44718</v>
      </c>
      <c r="B92" t="s">
        <v>123</v>
      </c>
      <c r="C92" t="s">
        <v>30</v>
      </c>
      <c r="E92" t="s">
        <v>95</v>
      </c>
      <c r="F92" s="1">
        <v>1360</v>
      </c>
      <c r="G92" s="1">
        <v>1360</v>
      </c>
      <c r="I92" s="4">
        <v>44720</v>
      </c>
    </row>
    <row r="93" spans="1:10" ht="15.75" thickBot="1" x14ac:dyDescent="0.3">
      <c r="A93" s="4">
        <v>44718</v>
      </c>
      <c r="B93" t="s">
        <v>123</v>
      </c>
      <c r="C93" t="s">
        <v>30</v>
      </c>
      <c r="E93" t="s">
        <v>95</v>
      </c>
      <c r="F93" s="1">
        <v>0</v>
      </c>
      <c r="I93" s="4">
        <v>44720</v>
      </c>
    </row>
    <row r="94" spans="1:10" ht="15.75" thickBot="1" x14ac:dyDescent="0.3">
      <c r="E94" s="7" t="s">
        <v>26</v>
      </c>
      <c r="F94" s="5">
        <f>SUM(F92:F93)</f>
        <v>1360</v>
      </c>
      <c r="G94" s="5"/>
      <c r="H94" s="5">
        <f>F94-G94</f>
        <v>1360</v>
      </c>
      <c r="I94" s="6">
        <v>44720</v>
      </c>
      <c r="J94" s="8"/>
    </row>
    <row r="95" spans="1:10" ht="15.75" thickBot="1" x14ac:dyDescent="0.3">
      <c r="A95" s="4">
        <v>44718</v>
      </c>
      <c r="B95" t="s">
        <v>125</v>
      </c>
      <c r="C95" t="s">
        <v>30</v>
      </c>
      <c r="E95" t="s">
        <v>126</v>
      </c>
      <c r="F95" s="1">
        <v>1550</v>
      </c>
      <c r="G95" s="1">
        <v>775</v>
      </c>
      <c r="I95" s="4">
        <v>44720</v>
      </c>
    </row>
    <row r="96" spans="1:10" ht="15.75" thickBot="1" x14ac:dyDescent="0.3">
      <c r="E96" s="7" t="s">
        <v>26</v>
      </c>
      <c r="F96" s="5">
        <f>SUM(F95:F95)</f>
        <v>1550</v>
      </c>
      <c r="G96" s="5"/>
      <c r="H96" s="5">
        <f>F96-G96</f>
        <v>1550</v>
      </c>
      <c r="I96" s="6">
        <v>44720</v>
      </c>
      <c r="J96" s="8"/>
    </row>
    <row r="97" spans="1:10" ht="15.75" thickBot="1" x14ac:dyDescent="0.3">
      <c r="A97" s="4">
        <v>44718</v>
      </c>
      <c r="B97" t="s">
        <v>128</v>
      </c>
      <c r="C97" t="s">
        <v>30</v>
      </c>
      <c r="E97" t="s">
        <v>129</v>
      </c>
      <c r="F97" s="1">
        <v>3600</v>
      </c>
      <c r="I97" s="4">
        <v>44720</v>
      </c>
    </row>
    <row r="98" spans="1:10" ht="15.75" thickBot="1" x14ac:dyDescent="0.3">
      <c r="E98" s="7" t="s">
        <v>26</v>
      </c>
      <c r="F98" s="5">
        <f>SUM(F97:F97)</f>
        <v>3600</v>
      </c>
      <c r="G98" s="5"/>
      <c r="H98" s="5">
        <f>F98-G98</f>
        <v>3600</v>
      </c>
      <c r="I98" s="6">
        <v>44720</v>
      </c>
      <c r="J98" s="8"/>
    </row>
    <row r="99" spans="1:10" ht="15.75" thickBot="1" x14ac:dyDescent="0.3">
      <c r="A99" s="4">
        <v>44718</v>
      </c>
      <c r="B99" t="s">
        <v>131</v>
      </c>
      <c r="C99" t="s">
        <v>30</v>
      </c>
      <c r="E99" t="s">
        <v>132</v>
      </c>
      <c r="F99" s="1">
        <v>1350</v>
      </c>
      <c r="I99" s="4">
        <v>44720</v>
      </c>
    </row>
    <row r="100" spans="1:10" ht="15.75" thickBot="1" x14ac:dyDescent="0.3">
      <c r="E100" s="7" t="s">
        <v>26</v>
      </c>
      <c r="F100" s="5">
        <f>SUM(F99:F99)</f>
        <v>1350</v>
      </c>
      <c r="G100" s="5"/>
      <c r="H100" s="5">
        <f>F100-G100</f>
        <v>1350</v>
      </c>
      <c r="I100" s="6">
        <v>44720</v>
      </c>
      <c r="J100" s="8"/>
    </row>
    <row r="101" spans="1:10" ht="15.75" thickBot="1" x14ac:dyDescent="0.3">
      <c r="A101" s="4">
        <v>44718</v>
      </c>
      <c r="B101" t="s">
        <v>134</v>
      </c>
      <c r="C101" t="s">
        <v>30</v>
      </c>
      <c r="E101" t="s">
        <v>135</v>
      </c>
      <c r="F101" s="1">
        <v>600</v>
      </c>
      <c r="G101" s="1">
        <v>600</v>
      </c>
      <c r="H101" s="1">
        <v>0</v>
      </c>
      <c r="I101" s="4">
        <v>44720</v>
      </c>
    </row>
    <row r="102" spans="1:10" ht="15.75" thickBot="1" x14ac:dyDescent="0.3">
      <c r="E102" s="7" t="s">
        <v>26</v>
      </c>
      <c r="F102" s="5">
        <f>SUM(F101:F101)</f>
        <v>600</v>
      </c>
      <c r="G102" s="5"/>
      <c r="H102" s="5">
        <f>F102-G102</f>
        <v>600</v>
      </c>
      <c r="I102" s="6">
        <v>44720</v>
      </c>
      <c r="J102" s="8"/>
    </row>
    <row r="103" spans="1:10" ht="15.75" thickBot="1" x14ac:dyDescent="0.3">
      <c r="A103" s="4">
        <v>44718</v>
      </c>
      <c r="B103" t="s">
        <v>138</v>
      </c>
      <c r="C103" t="s">
        <v>30</v>
      </c>
      <c r="E103" t="s">
        <v>139</v>
      </c>
      <c r="F103" s="1">
        <v>42500</v>
      </c>
      <c r="G103" s="1">
        <v>20000</v>
      </c>
      <c r="H103" s="1">
        <v>22500</v>
      </c>
      <c r="I103" s="4">
        <v>44720</v>
      </c>
    </row>
    <row r="104" spans="1:10" ht="15.75" thickBot="1" x14ac:dyDescent="0.3">
      <c r="E104" s="7" t="s">
        <v>26</v>
      </c>
      <c r="F104" s="5">
        <f>SUM(F103:F103)</f>
        <v>42500</v>
      </c>
      <c r="G104" s="5"/>
      <c r="H104" s="5">
        <f>F104-G104</f>
        <v>42500</v>
      </c>
      <c r="I104" s="6">
        <v>44720</v>
      </c>
      <c r="J104" s="8"/>
    </row>
    <row r="105" spans="1:10" ht="15.75" thickBot="1" x14ac:dyDescent="0.3">
      <c r="A105" s="4">
        <v>44718</v>
      </c>
      <c r="B105" t="s">
        <v>141</v>
      </c>
      <c r="C105" t="s">
        <v>30</v>
      </c>
      <c r="E105" t="s">
        <v>142</v>
      </c>
      <c r="F105" s="1">
        <v>2453</v>
      </c>
      <c r="I105" s="4">
        <v>44720</v>
      </c>
    </row>
    <row r="106" spans="1:10" ht="15.75" thickBot="1" x14ac:dyDescent="0.3">
      <c r="E106" s="7" t="s">
        <v>26</v>
      </c>
      <c r="F106" s="5">
        <f>SUM(F105:F105)</f>
        <v>2453</v>
      </c>
      <c r="G106" s="5"/>
      <c r="H106" s="5">
        <f>F106-G106</f>
        <v>2453</v>
      </c>
      <c r="I106" s="6">
        <v>44720</v>
      </c>
      <c r="J106" s="8"/>
    </row>
    <row r="107" spans="1:10" ht="15.75" thickBot="1" x14ac:dyDescent="0.3">
      <c r="A107" s="4">
        <v>45018</v>
      </c>
      <c r="B107" t="s">
        <v>179</v>
      </c>
      <c r="C107" t="s">
        <v>30</v>
      </c>
      <c r="E107" t="s">
        <v>182</v>
      </c>
      <c r="F107" s="1">
        <v>71724</v>
      </c>
      <c r="I107" s="4">
        <v>45020</v>
      </c>
    </row>
    <row r="108" spans="1:10" ht="15.75" thickBot="1" x14ac:dyDescent="0.3">
      <c r="E108" s="7" t="s">
        <v>26</v>
      </c>
      <c r="F108" s="5">
        <f>SUM(F107:F107)</f>
        <v>71724</v>
      </c>
      <c r="G108" s="5"/>
      <c r="H108" s="5">
        <f>F108-G108</f>
        <v>71724</v>
      </c>
      <c r="I108" s="6">
        <v>45020</v>
      </c>
      <c r="J108" s="8"/>
    </row>
    <row r="109" spans="1:10" x14ac:dyDescent="0.25">
      <c r="A109" s="4">
        <v>45018</v>
      </c>
      <c r="B109" t="s">
        <v>183</v>
      </c>
      <c r="E109" t="s">
        <v>81</v>
      </c>
      <c r="F109" s="1">
        <v>2432</v>
      </c>
      <c r="I109" s="4">
        <v>45020</v>
      </c>
    </row>
    <row r="110" spans="1:10" x14ac:dyDescent="0.25">
      <c r="A110" s="4">
        <v>45018</v>
      </c>
      <c r="B110" t="s">
        <v>183</v>
      </c>
      <c r="E110" t="s">
        <v>81</v>
      </c>
      <c r="F110" s="1">
        <v>21888</v>
      </c>
      <c r="I110" s="4">
        <v>45020</v>
      </c>
    </row>
    <row r="111" spans="1:10" ht="15.75" thickBot="1" x14ac:dyDescent="0.3">
      <c r="A111" s="4">
        <v>45018</v>
      </c>
      <c r="B111" t="s">
        <v>183</v>
      </c>
      <c r="E111" t="s">
        <v>184</v>
      </c>
      <c r="F111" s="1">
        <v>9401</v>
      </c>
      <c r="I111" s="4">
        <v>45020</v>
      </c>
    </row>
    <row r="112" spans="1:10" ht="15.75" thickBot="1" x14ac:dyDescent="0.3">
      <c r="E112" s="7" t="s">
        <v>26</v>
      </c>
      <c r="F112" s="5">
        <f>SUM(F109:F111)</f>
        <v>33721</v>
      </c>
      <c r="G112" s="5"/>
      <c r="H112" s="5">
        <f>F112-G112</f>
        <v>33721</v>
      </c>
      <c r="I112" s="6">
        <v>45020</v>
      </c>
      <c r="J112" s="8"/>
    </row>
    <row r="113" spans="1:11" ht="15.75" thickBot="1" x14ac:dyDescent="0.3">
      <c r="A113" s="4">
        <v>45142</v>
      </c>
      <c r="B113" t="s">
        <v>280</v>
      </c>
      <c r="D113">
        <v>100</v>
      </c>
      <c r="E113" t="s">
        <v>282</v>
      </c>
      <c r="F113" s="1">
        <v>7220</v>
      </c>
      <c r="I113" s="4">
        <v>45145</v>
      </c>
    </row>
    <row r="114" spans="1:11" ht="15.75" thickBot="1" x14ac:dyDescent="0.3">
      <c r="A114" s="4">
        <v>45142</v>
      </c>
      <c r="B114" t="s">
        <v>283</v>
      </c>
      <c r="C114" t="s">
        <v>36</v>
      </c>
      <c r="D114" s="7">
        <v>100</v>
      </c>
      <c r="E114" s="28" t="s">
        <v>284</v>
      </c>
      <c r="F114" s="5">
        <v>0</v>
      </c>
      <c r="G114" s="5"/>
      <c r="H114" s="5">
        <f>F114-G114</f>
        <v>0</v>
      </c>
      <c r="I114" s="6">
        <v>45145</v>
      </c>
      <c r="J114" s="28"/>
      <c r="K114" s="8"/>
    </row>
    <row r="115" spans="1:11" ht="15.75" thickBot="1" x14ac:dyDescent="0.3">
      <c r="D115" s="7" t="s">
        <v>26</v>
      </c>
      <c r="E115" s="28"/>
      <c r="F115" s="5">
        <f>SUM(F114:F114)</f>
        <v>0</v>
      </c>
      <c r="G115" s="5"/>
      <c r="H115" s="5">
        <f>F115-G115</f>
        <v>0</v>
      </c>
      <c r="I115" s="6">
        <v>45144</v>
      </c>
      <c r="J115" s="28"/>
      <c r="K115" s="8" t="s">
        <v>249</v>
      </c>
    </row>
    <row r="116" spans="1:11" x14ac:dyDescent="0.25">
      <c r="A116" s="4">
        <v>45142</v>
      </c>
      <c r="B116" t="s">
        <v>96</v>
      </c>
      <c r="C116" t="s">
        <v>30</v>
      </c>
      <c r="D116">
        <v>100</v>
      </c>
      <c r="E116" t="s">
        <v>62</v>
      </c>
      <c r="F116" s="1">
        <v>2713</v>
      </c>
      <c r="I116" s="4">
        <v>45145</v>
      </c>
    </row>
    <row r="117" spans="1:11" x14ac:dyDescent="0.25">
      <c r="A117" s="4">
        <v>45142</v>
      </c>
      <c r="B117" t="s">
        <v>96</v>
      </c>
      <c r="C117" t="s">
        <v>30</v>
      </c>
      <c r="D117">
        <v>100</v>
      </c>
      <c r="E117" t="s">
        <v>62</v>
      </c>
      <c r="F117" s="1">
        <v>2713</v>
      </c>
      <c r="I117" s="4">
        <v>45145</v>
      </c>
    </row>
    <row r="118" spans="1:11" x14ac:dyDescent="0.25">
      <c r="A118" s="4">
        <v>45142</v>
      </c>
      <c r="B118" t="s">
        <v>96</v>
      </c>
      <c r="C118" t="s">
        <v>30</v>
      </c>
      <c r="D118">
        <v>100</v>
      </c>
      <c r="E118" t="s">
        <v>62</v>
      </c>
      <c r="F118" s="1">
        <v>2713</v>
      </c>
      <c r="I118" s="4">
        <v>45145</v>
      </c>
    </row>
    <row r="119" spans="1:11" x14ac:dyDescent="0.25">
      <c r="A119" s="4">
        <v>45142</v>
      </c>
      <c r="B119" t="s">
        <v>96</v>
      </c>
      <c r="C119" t="s">
        <v>30</v>
      </c>
      <c r="E119" t="s">
        <v>201</v>
      </c>
      <c r="F119" s="1">
        <f>SUM(F116:F118)</f>
        <v>8139</v>
      </c>
      <c r="I119" s="4">
        <v>45145</v>
      </c>
    </row>
    <row r="120" spans="1:11" ht="15.75" thickBot="1" x14ac:dyDescent="0.3">
      <c r="A120" s="4">
        <v>45142</v>
      </c>
      <c r="B120" t="s">
        <v>96</v>
      </c>
      <c r="C120" t="s">
        <v>30</v>
      </c>
      <c r="E120" t="s">
        <v>289</v>
      </c>
      <c r="F120" s="1">
        <v>1629</v>
      </c>
      <c r="I120" s="4">
        <v>45145</v>
      </c>
    </row>
    <row r="121" spans="1:11" ht="15.75" thickBot="1" x14ac:dyDescent="0.3">
      <c r="D121" s="7" t="s">
        <v>26</v>
      </c>
      <c r="E121" s="28"/>
      <c r="F121" s="5">
        <f>F119-F120</f>
        <v>6510</v>
      </c>
      <c r="G121" s="5"/>
      <c r="H121" s="5">
        <f>F121-G121</f>
        <v>6510</v>
      </c>
      <c r="I121" s="6">
        <v>45144</v>
      </c>
      <c r="J121" s="28"/>
      <c r="K121" s="8" t="s">
        <v>249</v>
      </c>
    </row>
    <row r="122" spans="1:11" x14ac:dyDescent="0.25">
      <c r="A122" s="4">
        <v>45149</v>
      </c>
    </row>
  </sheetData>
  <conditionalFormatting sqref="I1:I45 I47:I112 I114:I1048576">
    <cfRule type="timePeriod" dxfId="2" priority="6" timePeriod="tomorrow">
      <formula>FLOOR(I1,1)=TODAY()+1</formula>
    </cfRule>
  </conditionalFormatting>
  <conditionalFormatting sqref="I46">
    <cfRule type="timePeriod" dxfId="1" priority="1" timePeriod="tomorrow">
      <formula>FLOOR(I46,1)=TODAY()+1</formula>
    </cfRule>
  </conditionalFormatting>
  <pageMargins left="0.25" right="0.25" top="0.75" bottom="0.75" header="0.3" footer="0.3"/>
  <pageSetup paperSize="9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8C5AD4-12AB-44FE-8893-84399FA12A6C}">
  <sheetPr codeName="Hoja6" filterMode="1"/>
  <dimension ref="A1:H146"/>
  <sheetViews>
    <sheetView topLeftCell="B1" workbookViewId="0">
      <pane ySplit="1" topLeftCell="A115" activePane="bottomLeft" state="frozen"/>
      <selection pane="bottomLeft" activeCell="I126" sqref="I126"/>
    </sheetView>
  </sheetViews>
  <sheetFormatPr baseColWidth="10" defaultRowHeight="15" x14ac:dyDescent="0.25"/>
  <cols>
    <col min="1" max="1" width="21.7109375" bestFit="1" customWidth="1"/>
    <col min="2" max="2" width="22.85546875" bestFit="1" customWidth="1"/>
    <col min="3" max="3" width="12.5703125" bestFit="1" customWidth="1"/>
    <col min="4" max="4" width="12" bestFit="1" customWidth="1"/>
    <col min="5" max="5" width="107.7109375" bestFit="1" customWidth="1"/>
    <col min="6" max="6" width="11.140625" style="1" bestFit="1" customWidth="1"/>
    <col min="7" max="7" width="15.42578125" bestFit="1" customWidth="1"/>
  </cols>
  <sheetData>
    <row r="1" spans="1:7" s="29" customFormat="1" ht="15.75" x14ac:dyDescent="0.25">
      <c r="A1" s="29" t="s">
        <v>99</v>
      </c>
      <c r="B1" s="29" t="s">
        <v>2</v>
      </c>
      <c r="C1" s="29" t="s">
        <v>3</v>
      </c>
      <c r="D1" s="29" t="s">
        <v>46</v>
      </c>
      <c r="E1" s="29" t="s">
        <v>20</v>
      </c>
      <c r="F1" s="30" t="s">
        <v>5</v>
      </c>
      <c r="G1" s="29" t="s">
        <v>28</v>
      </c>
    </row>
    <row r="2" spans="1:7" x14ac:dyDescent="0.25">
      <c r="A2" s="4">
        <v>44866</v>
      </c>
      <c r="B2" t="s">
        <v>146</v>
      </c>
      <c r="C2" t="s">
        <v>30</v>
      </c>
      <c r="E2" t="s">
        <v>147</v>
      </c>
      <c r="F2" s="1">
        <v>2355</v>
      </c>
    </row>
    <row r="3" spans="1:7" ht="15.75" thickBot="1" x14ac:dyDescent="0.3">
      <c r="A3" s="4">
        <v>44866</v>
      </c>
      <c r="B3" t="s">
        <v>146</v>
      </c>
      <c r="C3" t="s">
        <v>30</v>
      </c>
      <c r="E3" t="s">
        <v>148</v>
      </c>
      <c r="F3" s="1">
        <v>5338</v>
      </c>
    </row>
    <row r="4" spans="1:7" ht="15.75" thickBot="1" x14ac:dyDescent="0.3">
      <c r="E4" s="7" t="s">
        <v>26</v>
      </c>
      <c r="F4" s="5">
        <f>SUM(F2:F3)</f>
        <v>7693</v>
      </c>
      <c r="G4" s="8">
        <v>10030114728</v>
      </c>
    </row>
    <row r="5" spans="1:7" x14ac:dyDescent="0.25">
      <c r="A5" s="4">
        <v>44874</v>
      </c>
      <c r="B5" t="s">
        <v>149</v>
      </c>
      <c r="C5" t="s">
        <v>30</v>
      </c>
      <c r="E5" t="s">
        <v>150</v>
      </c>
      <c r="F5" s="1">
        <v>9538</v>
      </c>
    </row>
    <row r="6" spans="1:7" x14ac:dyDescent="0.25">
      <c r="A6" s="4">
        <v>44874</v>
      </c>
      <c r="B6" t="s">
        <v>149</v>
      </c>
      <c r="C6" t="s">
        <v>30</v>
      </c>
      <c r="E6" t="s">
        <v>150</v>
      </c>
      <c r="F6" s="1">
        <v>14306</v>
      </c>
    </row>
    <row r="7" spans="1:7" ht="15.75" thickBot="1" x14ac:dyDescent="0.3">
      <c r="A7" s="4">
        <v>44874</v>
      </c>
      <c r="B7" t="s">
        <v>149</v>
      </c>
      <c r="C7" t="s">
        <v>30</v>
      </c>
      <c r="E7" t="s">
        <v>150</v>
      </c>
      <c r="F7" s="1">
        <v>42077</v>
      </c>
    </row>
    <row r="8" spans="1:7" ht="15.75" thickBot="1" x14ac:dyDescent="0.3">
      <c r="E8" s="7" t="s">
        <v>26</v>
      </c>
      <c r="F8" s="5">
        <f>SUM(F5:F7)</f>
        <v>65921</v>
      </c>
      <c r="G8" s="8">
        <v>10030114729</v>
      </c>
    </row>
    <row r="9" spans="1:7" x14ac:dyDescent="0.25">
      <c r="A9" s="4">
        <v>44874</v>
      </c>
      <c r="B9" t="s">
        <v>151</v>
      </c>
      <c r="E9" t="s">
        <v>62</v>
      </c>
      <c r="F9" s="1">
        <v>11305</v>
      </c>
    </row>
    <row r="10" spans="1:7" ht="15.75" thickBot="1" x14ac:dyDescent="0.3">
      <c r="A10" s="4">
        <v>44874</v>
      </c>
      <c r="B10" t="s">
        <v>151</v>
      </c>
      <c r="E10" t="s">
        <v>62</v>
      </c>
      <c r="F10" s="1">
        <v>5427</v>
      </c>
    </row>
    <row r="11" spans="1:7" ht="15.75" thickBot="1" x14ac:dyDescent="0.3">
      <c r="E11" s="7" t="s">
        <v>26</v>
      </c>
      <c r="F11" s="5">
        <f>SUM(F9:F10)</f>
        <v>16732</v>
      </c>
      <c r="G11" s="8">
        <v>10030114730</v>
      </c>
    </row>
    <row r="12" spans="1:7" x14ac:dyDescent="0.25">
      <c r="A12" s="4">
        <v>44875</v>
      </c>
      <c r="B12" t="s">
        <v>152</v>
      </c>
      <c r="C12" t="s">
        <v>30</v>
      </c>
      <c r="E12" t="s">
        <v>153</v>
      </c>
      <c r="F12" s="1">
        <v>1178</v>
      </c>
    </row>
    <row r="13" spans="1:7" x14ac:dyDescent="0.25">
      <c r="A13" s="4">
        <v>44875</v>
      </c>
      <c r="B13" t="s">
        <v>152</v>
      </c>
      <c r="C13" t="s">
        <v>30</v>
      </c>
      <c r="E13" t="s">
        <v>153</v>
      </c>
      <c r="F13" s="1">
        <v>5707</v>
      </c>
    </row>
    <row r="14" spans="1:7" ht="15.75" thickBot="1" x14ac:dyDescent="0.3">
      <c r="A14" s="4">
        <v>44875</v>
      </c>
      <c r="B14" t="s">
        <v>152</v>
      </c>
      <c r="C14" t="s">
        <v>30</v>
      </c>
      <c r="E14" t="s">
        <v>153</v>
      </c>
      <c r="F14" s="1">
        <v>8635</v>
      </c>
    </row>
    <row r="15" spans="1:7" ht="15.75" thickBot="1" x14ac:dyDescent="0.3">
      <c r="E15" s="7" t="s">
        <v>26</v>
      </c>
      <c r="F15" s="5">
        <f>SUM(F12:F14)</f>
        <v>15520</v>
      </c>
      <c r="G15" s="8">
        <v>10030114731</v>
      </c>
    </row>
    <row r="16" spans="1:7" x14ac:dyDescent="0.25">
      <c r="A16" s="4">
        <v>44875</v>
      </c>
      <c r="B16" t="s">
        <v>145</v>
      </c>
      <c r="E16" t="s">
        <v>154</v>
      </c>
      <c r="F16" s="1">
        <v>4620</v>
      </c>
    </row>
    <row r="17" spans="1:7" x14ac:dyDescent="0.25">
      <c r="A17" s="4">
        <v>44875</v>
      </c>
      <c r="B17" t="s">
        <v>145</v>
      </c>
      <c r="E17" t="s">
        <v>154</v>
      </c>
      <c r="F17" s="1">
        <v>21558</v>
      </c>
    </row>
    <row r="18" spans="1:7" ht="15.75" thickBot="1" x14ac:dyDescent="0.3">
      <c r="A18" s="4">
        <v>44875</v>
      </c>
      <c r="B18" t="s">
        <v>145</v>
      </c>
      <c r="E18" t="s">
        <v>154</v>
      </c>
      <c r="F18" s="1">
        <v>43115</v>
      </c>
    </row>
    <row r="19" spans="1:7" ht="15.75" thickBot="1" x14ac:dyDescent="0.3">
      <c r="E19" s="7" t="s">
        <v>26</v>
      </c>
      <c r="F19" s="5">
        <f>SUM(F16:F18)</f>
        <v>69293</v>
      </c>
      <c r="G19" s="8">
        <v>10030114732</v>
      </c>
    </row>
    <row r="20" spans="1:7" x14ac:dyDescent="0.25">
      <c r="A20" s="4">
        <v>44875</v>
      </c>
      <c r="B20" t="s">
        <v>155</v>
      </c>
      <c r="C20" t="s">
        <v>30</v>
      </c>
      <c r="E20" t="s">
        <v>156</v>
      </c>
      <c r="F20" s="1">
        <v>952</v>
      </c>
    </row>
    <row r="21" spans="1:7" x14ac:dyDescent="0.25">
      <c r="A21" s="4">
        <v>44875</v>
      </c>
      <c r="B21" t="s">
        <v>155</v>
      </c>
      <c r="C21" t="s">
        <v>30</v>
      </c>
      <c r="E21" t="s">
        <v>156</v>
      </c>
      <c r="F21" s="1">
        <v>4756</v>
      </c>
    </row>
    <row r="22" spans="1:7" ht="15.75" thickBot="1" x14ac:dyDescent="0.3">
      <c r="A22" s="4">
        <v>44875</v>
      </c>
      <c r="B22" t="s">
        <v>155</v>
      </c>
      <c r="C22" t="s">
        <v>30</v>
      </c>
      <c r="E22" t="s">
        <v>156</v>
      </c>
      <c r="F22" s="1">
        <v>9194</v>
      </c>
    </row>
    <row r="23" spans="1:7" ht="15.75" thickBot="1" x14ac:dyDescent="0.3">
      <c r="E23" s="7" t="s">
        <v>26</v>
      </c>
      <c r="F23" s="5">
        <f>SUM(F20:F22)</f>
        <v>14902</v>
      </c>
      <c r="G23" s="8">
        <v>10030114733</v>
      </c>
    </row>
    <row r="24" spans="1:7" ht="15.75" thickBot="1" x14ac:dyDescent="0.3">
      <c r="A24" s="4">
        <v>44875</v>
      </c>
      <c r="B24" t="s">
        <v>157</v>
      </c>
      <c r="C24" t="s">
        <v>30</v>
      </c>
      <c r="E24" t="s">
        <v>158</v>
      </c>
      <c r="F24" s="1">
        <v>66423</v>
      </c>
    </row>
    <row r="25" spans="1:7" ht="15.75" thickBot="1" x14ac:dyDescent="0.3">
      <c r="E25" s="7" t="s">
        <v>26</v>
      </c>
      <c r="F25" s="5">
        <f>SUM(F24:F24)</f>
        <v>66423</v>
      </c>
      <c r="G25" s="8">
        <v>10030114734</v>
      </c>
    </row>
    <row r="26" spans="1:7" ht="15.75" thickBot="1" x14ac:dyDescent="0.3">
      <c r="A26" s="4">
        <v>44875</v>
      </c>
      <c r="B26" t="s">
        <v>157</v>
      </c>
      <c r="C26" t="s">
        <v>30</v>
      </c>
      <c r="E26" t="s">
        <v>159</v>
      </c>
      <c r="F26" s="1">
        <v>77493</v>
      </c>
    </row>
    <row r="27" spans="1:7" ht="15.75" thickBot="1" x14ac:dyDescent="0.3">
      <c r="E27" s="7" t="s">
        <v>26</v>
      </c>
      <c r="F27" s="5">
        <f>SUM(F26:F26)</f>
        <v>77493</v>
      </c>
      <c r="G27" s="8">
        <v>10030114735</v>
      </c>
    </row>
    <row r="28" spans="1:7" ht="15.75" thickBot="1" x14ac:dyDescent="0.3">
      <c r="A28" s="4">
        <v>44876</v>
      </c>
      <c r="B28" t="s">
        <v>160</v>
      </c>
      <c r="C28" t="s">
        <v>30</v>
      </c>
      <c r="E28" t="s">
        <v>161</v>
      </c>
      <c r="F28" s="1">
        <v>1701</v>
      </c>
    </row>
    <row r="29" spans="1:7" ht="15.75" thickBot="1" x14ac:dyDescent="0.3">
      <c r="E29" s="7" t="s">
        <v>26</v>
      </c>
      <c r="F29" s="5">
        <f>SUM(F28:F28)</f>
        <v>1701</v>
      </c>
      <c r="G29" s="8">
        <v>10030114736</v>
      </c>
    </row>
    <row r="30" spans="1:7" x14ac:dyDescent="0.25">
      <c r="A30" s="4">
        <v>44879</v>
      </c>
      <c r="B30" t="s">
        <v>162</v>
      </c>
      <c r="C30" t="s">
        <v>30</v>
      </c>
      <c r="E30" t="s">
        <v>163</v>
      </c>
      <c r="F30" s="1">
        <v>2261</v>
      </c>
    </row>
    <row r="31" spans="1:7" x14ac:dyDescent="0.25">
      <c r="A31" s="4">
        <v>44879</v>
      </c>
      <c r="B31" t="s">
        <v>162</v>
      </c>
      <c r="C31" t="s">
        <v>30</v>
      </c>
      <c r="E31" t="s">
        <v>164</v>
      </c>
      <c r="F31" s="1">
        <v>3808</v>
      </c>
    </row>
    <row r="32" spans="1:7" x14ac:dyDescent="0.25">
      <c r="A32" s="4">
        <v>44879</v>
      </c>
      <c r="B32" t="s">
        <v>162</v>
      </c>
      <c r="C32" t="s">
        <v>30</v>
      </c>
      <c r="E32" t="s">
        <v>165</v>
      </c>
      <c r="F32" s="1">
        <v>4522</v>
      </c>
    </row>
    <row r="33" spans="1:7" ht="15.75" thickBot="1" x14ac:dyDescent="0.3">
      <c r="A33" s="4">
        <v>44879</v>
      </c>
      <c r="B33" t="s">
        <v>162</v>
      </c>
      <c r="C33" t="s">
        <v>30</v>
      </c>
      <c r="E33" t="s">
        <v>166</v>
      </c>
      <c r="F33" s="1">
        <v>7616</v>
      </c>
    </row>
    <row r="34" spans="1:7" ht="15.75" thickBot="1" x14ac:dyDescent="0.3">
      <c r="E34" s="7" t="s">
        <v>26</v>
      </c>
      <c r="F34" s="5">
        <f>SUM(F30:F33)</f>
        <v>18207</v>
      </c>
      <c r="G34" s="8">
        <v>10030114737</v>
      </c>
    </row>
    <row r="35" spans="1:7" ht="15.75" thickBot="1" x14ac:dyDescent="0.3">
      <c r="A35" s="4">
        <v>44880</v>
      </c>
      <c r="B35" t="s">
        <v>167</v>
      </c>
      <c r="C35" t="s">
        <v>30</v>
      </c>
      <c r="E35" t="s">
        <v>168</v>
      </c>
      <c r="F35" s="1">
        <v>29614</v>
      </c>
    </row>
    <row r="36" spans="1:7" ht="15.75" thickBot="1" x14ac:dyDescent="0.3">
      <c r="E36" s="7" t="s">
        <v>26</v>
      </c>
      <c r="F36" s="5">
        <f>SUM(F35:F35)</f>
        <v>29614</v>
      </c>
      <c r="G36" s="8">
        <v>10030114738</v>
      </c>
    </row>
    <row r="37" spans="1:7" ht="15.75" thickBot="1" x14ac:dyDescent="0.3">
      <c r="A37" s="4">
        <v>44890</v>
      </c>
      <c r="B37" t="s">
        <v>169</v>
      </c>
      <c r="C37" t="s">
        <v>30</v>
      </c>
      <c r="E37" t="s">
        <v>170</v>
      </c>
      <c r="F37" s="1">
        <v>20825</v>
      </c>
    </row>
    <row r="38" spans="1:7" ht="15.75" thickBot="1" x14ac:dyDescent="0.3">
      <c r="E38" s="7" t="s">
        <v>26</v>
      </c>
      <c r="F38" s="5">
        <f>SUM(F37:F37)</f>
        <v>20825</v>
      </c>
      <c r="G38" s="8">
        <v>10030114739</v>
      </c>
    </row>
    <row r="39" spans="1:7" ht="15.75" thickBot="1" x14ac:dyDescent="0.3">
      <c r="A39" s="4">
        <v>44890</v>
      </c>
      <c r="B39" t="s">
        <v>171</v>
      </c>
      <c r="C39" t="s">
        <v>30</v>
      </c>
      <c r="E39" t="s">
        <v>172</v>
      </c>
      <c r="F39" s="1">
        <v>2431</v>
      </c>
    </row>
    <row r="40" spans="1:7" ht="15.75" thickBot="1" x14ac:dyDescent="0.3">
      <c r="E40" s="7" t="s">
        <v>26</v>
      </c>
      <c r="F40" s="5">
        <f>SUM(F39:F39)</f>
        <v>2431</v>
      </c>
      <c r="G40" s="8">
        <v>10030114740</v>
      </c>
    </row>
    <row r="41" spans="1:7" x14ac:dyDescent="0.25">
      <c r="A41" s="4">
        <v>44890</v>
      </c>
      <c r="B41" t="s">
        <v>173</v>
      </c>
      <c r="C41" t="s">
        <v>30</v>
      </c>
      <c r="E41" t="s">
        <v>174</v>
      </c>
      <c r="F41" s="1">
        <v>12752</v>
      </c>
    </row>
    <row r="42" spans="1:7" ht="15.75" thickBot="1" x14ac:dyDescent="0.3">
      <c r="A42" s="4">
        <v>44890</v>
      </c>
      <c r="B42" t="s">
        <v>173</v>
      </c>
      <c r="C42" t="s">
        <v>30</v>
      </c>
      <c r="E42" t="s">
        <v>175</v>
      </c>
      <c r="F42" s="1">
        <v>10532</v>
      </c>
    </row>
    <row r="43" spans="1:7" ht="15.75" thickBot="1" x14ac:dyDescent="0.3">
      <c r="E43" s="7" t="s">
        <v>26</v>
      </c>
      <c r="F43" s="5">
        <f>SUM(F41:F42)</f>
        <v>23284</v>
      </c>
      <c r="G43" s="8">
        <v>10030114741</v>
      </c>
    </row>
    <row r="44" spans="1:7" ht="15.75" thickBot="1" x14ac:dyDescent="0.3">
      <c r="A44" s="4">
        <v>44893</v>
      </c>
      <c r="B44" t="s">
        <v>176</v>
      </c>
      <c r="C44" t="s">
        <v>30</v>
      </c>
      <c r="E44" t="s">
        <v>177</v>
      </c>
      <c r="F44" s="1">
        <v>5403</v>
      </c>
    </row>
    <row r="45" spans="1:7" ht="15.75" thickBot="1" x14ac:dyDescent="0.3">
      <c r="E45" s="7" t="s">
        <v>26</v>
      </c>
      <c r="F45" s="5">
        <f>SUM(F44:F44)</f>
        <v>5403</v>
      </c>
      <c r="G45" s="8">
        <v>10030114742</v>
      </c>
    </row>
    <row r="46" spans="1:7" ht="15.75" thickBot="1" x14ac:dyDescent="0.3">
      <c r="A46" s="4">
        <v>45022</v>
      </c>
      <c r="B46" t="s">
        <v>198</v>
      </c>
      <c r="C46" t="s">
        <v>30</v>
      </c>
      <c r="E46" t="s">
        <v>199</v>
      </c>
      <c r="F46" s="1">
        <v>2500</v>
      </c>
    </row>
    <row r="47" spans="1:7" ht="15.75" thickBot="1" x14ac:dyDescent="0.3">
      <c r="E47" s="7" t="s">
        <v>26</v>
      </c>
      <c r="F47" s="5">
        <f>SUM(F46:F46)</f>
        <v>2500</v>
      </c>
      <c r="G47" s="8">
        <v>10030114811</v>
      </c>
    </row>
    <row r="48" spans="1:7" x14ac:dyDescent="0.25">
      <c r="A48" s="4">
        <v>45022</v>
      </c>
      <c r="B48" t="s">
        <v>198</v>
      </c>
      <c r="C48" t="s">
        <v>30</v>
      </c>
      <c r="E48" t="s">
        <v>190</v>
      </c>
      <c r="F48" s="1">
        <v>2500</v>
      </c>
    </row>
    <row r="49" spans="1:7" ht="15.75" thickBot="1" x14ac:dyDescent="0.3">
      <c r="A49" s="4">
        <v>45022</v>
      </c>
      <c r="B49" t="s">
        <v>198</v>
      </c>
      <c r="C49" t="s">
        <v>30</v>
      </c>
      <c r="E49" t="s">
        <v>200</v>
      </c>
      <c r="F49" s="1">
        <v>3000</v>
      </c>
    </row>
    <row r="50" spans="1:7" ht="15.75" thickBot="1" x14ac:dyDescent="0.3">
      <c r="E50" s="7" t="s">
        <v>26</v>
      </c>
      <c r="F50" s="5">
        <f>SUM(F48:F49)</f>
        <v>5500</v>
      </c>
      <c r="G50" s="8">
        <v>10030114812</v>
      </c>
    </row>
    <row r="51" spans="1:7" x14ac:dyDescent="0.25">
      <c r="A51" s="4">
        <v>45022</v>
      </c>
      <c r="B51" t="s">
        <v>198</v>
      </c>
      <c r="C51" t="s">
        <v>30</v>
      </c>
      <c r="E51" t="s">
        <v>190</v>
      </c>
      <c r="F51" s="1">
        <v>2500</v>
      </c>
    </row>
    <row r="52" spans="1:7" ht="15.75" thickBot="1" x14ac:dyDescent="0.3">
      <c r="A52" s="4">
        <v>45022</v>
      </c>
      <c r="B52" t="s">
        <v>198</v>
      </c>
      <c r="C52" t="s">
        <v>30</v>
      </c>
      <c r="E52" t="s">
        <v>186</v>
      </c>
      <c r="F52" s="1">
        <v>3000</v>
      </c>
    </row>
    <row r="53" spans="1:7" ht="15.75" thickBot="1" x14ac:dyDescent="0.3">
      <c r="E53" s="7" t="s">
        <v>26</v>
      </c>
      <c r="F53" s="5">
        <f>SUM(F51:F52)</f>
        <v>5500</v>
      </c>
      <c r="G53" s="8">
        <v>10030114813</v>
      </c>
    </row>
    <row r="54" spans="1:7" x14ac:dyDescent="0.25">
      <c r="A54" s="4">
        <v>45023</v>
      </c>
      <c r="B54" t="s">
        <v>198</v>
      </c>
      <c r="C54" t="s">
        <v>30</v>
      </c>
      <c r="D54">
        <v>1000</v>
      </c>
      <c r="E54" t="s">
        <v>203</v>
      </c>
      <c r="F54" s="1">
        <v>3900</v>
      </c>
    </row>
    <row r="55" spans="1:7" x14ac:dyDescent="0.25">
      <c r="A55" s="4">
        <v>45023</v>
      </c>
      <c r="B55" t="s">
        <v>198</v>
      </c>
      <c r="C55" t="s">
        <v>30</v>
      </c>
      <c r="D55">
        <v>1000</v>
      </c>
      <c r="E55" t="s">
        <v>204</v>
      </c>
      <c r="F55" s="1">
        <v>7650</v>
      </c>
    </row>
    <row r="56" spans="1:7" x14ac:dyDescent="0.25">
      <c r="A56" s="4">
        <v>45023</v>
      </c>
      <c r="B56" t="s">
        <v>198</v>
      </c>
      <c r="C56" t="s">
        <v>30</v>
      </c>
      <c r="E56" t="s">
        <v>201</v>
      </c>
      <c r="F56" s="1">
        <f>SUM(F54:F55)</f>
        <v>11550</v>
      </c>
    </row>
    <row r="57" spans="1:7" ht="15.75" thickBot="1" x14ac:dyDescent="0.3">
      <c r="A57" s="4">
        <v>45023</v>
      </c>
      <c r="B57" t="s">
        <v>198</v>
      </c>
      <c r="C57" t="s">
        <v>30</v>
      </c>
      <c r="E57" t="s">
        <v>202</v>
      </c>
      <c r="F57" s="1">
        <v>6210</v>
      </c>
    </row>
    <row r="58" spans="1:7" ht="15.75" thickBot="1" x14ac:dyDescent="0.3">
      <c r="D58" s="7"/>
      <c r="E58" s="28" t="s">
        <v>26</v>
      </c>
      <c r="F58" s="5">
        <f>F56-F57</f>
        <v>5340</v>
      </c>
      <c r="G58" s="8">
        <v>10030114817</v>
      </c>
    </row>
    <row r="59" spans="1:7" x14ac:dyDescent="0.25">
      <c r="A59" s="4">
        <v>45023</v>
      </c>
      <c r="B59" t="s">
        <v>198</v>
      </c>
      <c r="C59" t="s">
        <v>30</v>
      </c>
      <c r="D59">
        <v>1000</v>
      </c>
      <c r="E59" t="s">
        <v>205</v>
      </c>
      <c r="F59" s="1">
        <v>2500</v>
      </c>
    </row>
    <row r="60" spans="1:7" x14ac:dyDescent="0.25">
      <c r="A60" s="4">
        <v>45023</v>
      </c>
      <c r="B60" t="s">
        <v>198</v>
      </c>
      <c r="C60" t="s">
        <v>30</v>
      </c>
      <c r="D60">
        <v>1000</v>
      </c>
      <c r="E60" t="s">
        <v>205</v>
      </c>
      <c r="F60" s="1">
        <v>2500</v>
      </c>
    </row>
    <row r="61" spans="1:7" x14ac:dyDescent="0.25">
      <c r="A61" s="4">
        <v>45023</v>
      </c>
      <c r="B61" t="s">
        <v>198</v>
      </c>
      <c r="C61" t="s">
        <v>30</v>
      </c>
      <c r="D61">
        <v>1000</v>
      </c>
      <c r="E61" t="s">
        <v>205</v>
      </c>
      <c r="F61" s="1">
        <v>2500</v>
      </c>
    </row>
    <row r="62" spans="1:7" x14ac:dyDescent="0.25">
      <c r="A62" s="4">
        <v>45023</v>
      </c>
      <c r="B62" t="s">
        <v>198</v>
      </c>
      <c r="C62" t="s">
        <v>30</v>
      </c>
      <c r="E62" t="s">
        <v>201</v>
      </c>
      <c r="F62" s="1">
        <f>SUM(F59:F61)</f>
        <v>7500</v>
      </c>
    </row>
    <row r="63" spans="1:7" ht="15.75" thickBot="1" x14ac:dyDescent="0.3">
      <c r="A63" s="4">
        <v>45023</v>
      </c>
      <c r="B63" t="s">
        <v>198</v>
      </c>
      <c r="C63" t="s">
        <v>30</v>
      </c>
      <c r="E63" t="s">
        <v>206</v>
      </c>
      <c r="F63" s="1">
        <v>1500</v>
      </c>
    </row>
    <row r="64" spans="1:7" ht="15.75" thickBot="1" x14ac:dyDescent="0.3">
      <c r="D64" s="7"/>
      <c r="E64" s="28" t="s">
        <v>26</v>
      </c>
      <c r="F64" s="5">
        <f>F62-F63</f>
        <v>6000</v>
      </c>
      <c r="G64" s="8">
        <v>10030114818</v>
      </c>
    </row>
    <row r="65" spans="1:7" x14ac:dyDescent="0.25">
      <c r="A65" s="4">
        <v>45023</v>
      </c>
      <c r="B65" t="s">
        <v>198</v>
      </c>
      <c r="C65" t="s">
        <v>30</v>
      </c>
      <c r="D65">
        <v>1000</v>
      </c>
      <c r="E65" t="s">
        <v>207</v>
      </c>
      <c r="F65" s="1">
        <v>2500</v>
      </c>
    </row>
    <row r="66" spans="1:7" x14ac:dyDescent="0.25">
      <c r="A66" s="4">
        <v>45023</v>
      </c>
      <c r="B66" t="s">
        <v>198</v>
      </c>
      <c r="C66" t="s">
        <v>30</v>
      </c>
      <c r="D66">
        <v>1000</v>
      </c>
      <c r="E66" t="s">
        <v>207</v>
      </c>
      <c r="F66" s="1">
        <v>2500</v>
      </c>
    </row>
    <row r="67" spans="1:7" x14ac:dyDescent="0.25">
      <c r="A67" s="4">
        <v>45023</v>
      </c>
      <c r="B67" t="s">
        <v>198</v>
      </c>
      <c r="C67" t="s">
        <v>30</v>
      </c>
      <c r="D67">
        <v>1000</v>
      </c>
      <c r="E67" t="s">
        <v>208</v>
      </c>
      <c r="F67" s="1">
        <v>3900</v>
      </c>
    </row>
    <row r="68" spans="1:7" x14ac:dyDescent="0.25">
      <c r="A68" s="4">
        <v>45023</v>
      </c>
      <c r="B68" t="s">
        <v>198</v>
      </c>
      <c r="C68" t="s">
        <v>30</v>
      </c>
      <c r="D68">
        <v>1000</v>
      </c>
      <c r="E68" t="s">
        <v>208</v>
      </c>
      <c r="F68" s="1">
        <v>3900</v>
      </c>
    </row>
    <row r="69" spans="1:7" x14ac:dyDescent="0.25">
      <c r="A69" s="4">
        <v>45023</v>
      </c>
      <c r="B69" t="s">
        <v>198</v>
      </c>
      <c r="C69" t="s">
        <v>30</v>
      </c>
      <c r="E69" t="s">
        <v>201</v>
      </c>
      <c r="F69" s="1">
        <f>SUM(F65:F68)</f>
        <v>12800</v>
      </c>
    </row>
    <row r="70" spans="1:7" ht="15.75" thickBot="1" x14ac:dyDescent="0.3">
      <c r="A70" s="4">
        <v>45023</v>
      </c>
      <c r="B70" t="s">
        <v>198</v>
      </c>
      <c r="C70" t="s">
        <v>30</v>
      </c>
      <c r="E70" t="s">
        <v>202</v>
      </c>
      <c r="F70" s="1">
        <v>1560</v>
      </c>
    </row>
    <row r="71" spans="1:7" ht="15.75" thickBot="1" x14ac:dyDescent="0.3">
      <c r="D71" s="7"/>
      <c r="E71" s="28" t="s">
        <v>26</v>
      </c>
      <c r="F71" s="5">
        <f>F69-F70</f>
        <v>11240</v>
      </c>
      <c r="G71" s="8">
        <v>10030114819</v>
      </c>
    </row>
    <row r="72" spans="1:7" x14ac:dyDescent="0.25">
      <c r="A72" s="4">
        <v>45068</v>
      </c>
      <c r="B72" t="s">
        <v>209</v>
      </c>
      <c r="C72" t="s">
        <v>30</v>
      </c>
      <c r="D72">
        <v>500</v>
      </c>
      <c r="E72" t="s">
        <v>210</v>
      </c>
      <c r="F72" s="1">
        <v>10863</v>
      </c>
    </row>
    <row r="73" spans="1:7" x14ac:dyDescent="0.25">
      <c r="A73" s="4">
        <v>45068</v>
      </c>
      <c r="B73" t="s">
        <v>209</v>
      </c>
      <c r="C73" t="s">
        <v>30</v>
      </c>
      <c r="E73" t="s">
        <v>201</v>
      </c>
      <c r="F73" s="1">
        <f>SUM(F72:F72)</f>
        <v>10863</v>
      </c>
    </row>
    <row r="74" spans="1:7" ht="15.75" thickBot="1" x14ac:dyDescent="0.3">
      <c r="A74" s="4">
        <v>45068</v>
      </c>
      <c r="B74" t="s">
        <v>209</v>
      </c>
      <c r="C74" t="s">
        <v>30</v>
      </c>
      <c r="E74" t="s">
        <v>211</v>
      </c>
      <c r="F74" s="1">
        <v>2173</v>
      </c>
    </row>
    <row r="75" spans="1:7" ht="15.75" thickBot="1" x14ac:dyDescent="0.3">
      <c r="D75" s="7"/>
      <c r="E75" s="28" t="s">
        <v>26</v>
      </c>
      <c r="F75" s="5">
        <f>F73-F74</f>
        <v>8690</v>
      </c>
      <c r="G75" s="8">
        <v>10030114822</v>
      </c>
    </row>
    <row r="76" spans="1:7" x14ac:dyDescent="0.25">
      <c r="A76" s="4">
        <v>45068</v>
      </c>
      <c r="B76" t="s">
        <v>209</v>
      </c>
      <c r="C76" t="s">
        <v>30</v>
      </c>
      <c r="D76">
        <v>500</v>
      </c>
      <c r="E76" t="s">
        <v>212</v>
      </c>
      <c r="F76" s="1">
        <v>10863</v>
      </c>
    </row>
    <row r="77" spans="1:7" x14ac:dyDescent="0.25">
      <c r="A77" s="4">
        <v>45068</v>
      </c>
      <c r="B77" t="s">
        <v>209</v>
      </c>
      <c r="C77" t="s">
        <v>30</v>
      </c>
      <c r="E77" t="s">
        <v>201</v>
      </c>
      <c r="F77" s="1">
        <f>SUM(F76:F76)</f>
        <v>10863</v>
      </c>
    </row>
    <row r="78" spans="1:7" ht="15.75" thickBot="1" x14ac:dyDescent="0.3">
      <c r="A78" s="4">
        <v>45068</v>
      </c>
      <c r="B78" t="s">
        <v>209</v>
      </c>
      <c r="C78" t="s">
        <v>30</v>
      </c>
      <c r="E78" t="s">
        <v>213</v>
      </c>
      <c r="F78" s="1">
        <v>3259</v>
      </c>
    </row>
    <row r="79" spans="1:7" ht="15.75" thickBot="1" x14ac:dyDescent="0.3">
      <c r="D79" s="7"/>
      <c r="E79" s="28" t="s">
        <v>26</v>
      </c>
      <c r="F79" s="5">
        <f>F77-F78</f>
        <v>7604</v>
      </c>
      <c r="G79" s="8">
        <v>10030114823</v>
      </c>
    </row>
    <row r="80" spans="1:7" x14ac:dyDescent="0.25">
      <c r="A80" s="4">
        <v>45068</v>
      </c>
      <c r="B80" t="s">
        <v>214</v>
      </c>
      <c r="C80" t="s">
        <v>30</v>
      </c>
      <c r="D80">
        <v>10</v>
      </c>
      <c r="E80" t="s">
        <v>215</v>
      </c>
      <c r="F80" s="1">
        <v>4785</v>
      </c>
    </row>
    <row r="81" spans="1:7" ht="15.75" thickBot="1" x14ac:dyDescent="0.3">
      <c r="A81" s="4">
        <v>45068</v>
      </c>
      <c r="B81" t="s">
        <v>214</v>
      </c>
      <c r="C81" t="s">
        <v>30</v>
      </c>
      <c r="D81">
        <v>10</v>
      </c>
      <c r="E81" t="s">
        <v>216</v>
      </c>
      <c r="F81" s="1">
        <v>5428</v>
      </c>
    </row>
    <row r="82" spans="1:7" ht="15.75" thickBot="1" x14ac:dyDescent="0.3">
      <c r="D82" s="7"/>
      <c r="E82" s="28" t="s">
        <v>26</v>
      </c>
      <c r="F82" s="5">
        <f>SUM(F80:F81)</f>
        <v>10213</v>
      </c>
      <c r="G82" s="8">
        <v>10030114824</v>
      </c>
    </row>
    <row r="83" spans="1:7" ht="15.75" thickBot="1" x14ac:dyDescent="0.3">
      <c r="A83" s="4">
        <v>45079</v>
      </c>
      <c r="B83" t="s">
        <v>217</v>
      </c>
      <c r="C83" t="s">
        <v>30</v>
      </c>
      <c r="D83">
        <v>1</v>
      </c>
      <c r="E83" t="s">
        <v>218</v>
      </c>
      <c r="F83" s="1">
        <v>19889</v>
      </c>
    </row>
    <row r="84" spans="1:7" ht="15.75" thickBot="1" x14ac:dyDescent="0.3">
      <c r="D84" s="7"/>
      <c r="E84" s="28" t="s">
        <v>26</v>
      </c>
      <c r="F84" s="5">
        <f>SUM(F83:F83)</f>
        <v>19889</v>
      </c>
      <c r="G84" s="8">
        <v>10030114825</v>
      </c>
    </row>
    <row r="85" spans="1:7" x14ac:dyDescent="0.25">
      <c r="A85" s="4">
        <v>45092</v>
      </c>
      <c r="B85" t="s">
        <v>219</v>
      </c>
      <c r="D85">
        <v>1500</v>
      </c>
      <c r="E85" t="s">
        <v>220</v>
      </c>
      <c r="F85" s="1">
        <v>15580</v>
      </c>
    </row>
    <row r="86" spans="1:7" x14ac:dyDescent="0.25">
      <c r="A86" s="4">
        <v>45092</v>
      </c>
      <c r="B86" t="s">
        <v>219</v>
      </c>
      <c r="E86" t="s">
        <v>201</v>
      </c>
      <c r="F86" s="1">
        <f>SUM(F85:F85)</f>
        <v>15580</v>
      </c>
    </row>
    <row r="87" spans="1:7" ht="15.75" thickBot="1" x14ac:dyDescent="0.3">
      <c r="A87" s="4">
        <v>45092</v>
      </c>
      <c r="B87" t="s">
        <v>219</v>
      </c>
      <c r="E87" t="s">
        <v>221</v>
      </c>
      <c r="F87" s="1">
        <v>3116</v>
      </c>
    </row>
    <row r="88" spans="1:7" ht="15.75" thickBot="1" x14ac:dyDescent="0.3">
      <c r="D88" s="7"/>
      <c r="E88" s="28" t="s">
        <v>26</v>
      </c>
      <c r="F88" s="5">
        <f>F86-F87</f>
        <v>12464</v>
      </c>
      <c r="G88" s="8">
        <v>10030114826</v>
      </c>
    </row>
    <row r="89" spans="1:7" ht="15.75" thickBot="1" x14ac:dyDescent="0.3">
      <c r="A89" s="4">
        <v>45105</v>
      </c>
      <c r="B89" t="s">
        <v>222</v>
      </c>
      <c r="D89">
        <v>100</v>
      </c>
      <c r="E89" t="s">
        <v>223</v>
      </c>
      <c r="F89" s="1">
        <v>7521</v>
      </c>
    </row>
    <row r="90" spans="1:7" ht="15.75" thickBot="1" x14ac:dyDescent="0.3">
      <c r="D90" s="7"/>
      <c r="E90" s="28" t="s">
        <v>26</v>
      </c>
      <c r="F90" s="5">
        <f>SUM(F89:F89)</f>
        <v>7521</v>
      </c>
      <c r="G90" s="8">
        <v>10030114827</v>
      </c>
    </row>
    <row r="91" spans="1:7" x14ac:dyDescent="0.25">
      <c r="A91" s="4">
        <v>45106</v>
      </c>
      <c r="B91" t="s">
        <v>224</v>
      </c>
      <c r="D91">
        <v>20</v>
      </c>
      <c r="E91" t="s">
        <v>225</v>
      </c>
      <c r="F91" s="1">
        <v>4411</v>
      </c>
    </row>
    <row r="92" spans="1:7" ht="15.75" thickBot="1" x14ac:dyDescent="0.3">
      <c r="A92" s="4">
        <v>45106</v>
      </c>
      <c r="B92" t="s">
        <v>224</v>
      </c>
      <c r="D92">
        <v>60</v>
      </c>
      <c r="E92" t="s">
        <v>226</v>
      </c>
      <c r="F92" s="1">
        <v>1960</v>
      </c>
    </row>
    <row r="93" spans="1:7" ht="15.75" thickBot="1" x14ac:dyDescent="0.3">
      <c r="D93" s="7"/>
      <c r="E93" s="28" t="s">
        <v>26</v>
      </c>
      <c r="F93" s="5">
        <f>SUM(F91:F92)</f>
        <v>6371</v>
      </c>
      <c r="G93" s="8">
        <v>10030114828</v>
      </c>
    </row>
    <row r="94" spans="1:7" ht="15.75" thickBot="1" x14ac:dyDescent="0.3">
      <c r="A94" s="4">
        <v>45111</v>
      </c>
      <c r="B94" t="s">
        <v>227</v>
      </c>
      <c r="D94">
        <v>500</v>
      </c>
      <c r="E94" t="s">
        <v>228</v>
      </c>
      <c r="F94" s="1">
        <v>2002</v>
      </c>
    </row>
    <row r="95" spans="1:7" ht="15.75" thickBot="1" x14ac:dyDescent="0.3">
      <c r="D95" s="7"/>
      <c r="E95" s="28" t="s">
        <v>26</v>
      </c>
      <c r="F95" s="5">
        <f>SUM(F94:F94)</f>
        <v>2002</v>
      </c>
      <c r="G95" s="8">
        <v>10030114829</v>
      </c>
    </row>
    <row r="96" spans="1:7" ht="15.75" thickBot="1" x14ac:dyDescent="0.3">
      <c r="A96" s="4">
        <v>45111</v>
      </c>
      <c r="B96" t="s">
        <v>229</v>
      </c>
      <c r="C96" t="s">
        <v>30</v>
      </c>
      <c r="D96">
        <v>920</v>
      </c>
      <c r="E96" t="s">
        <v>230</v>
      </c>
      <c r="F96" s="1">
        <v>19320</v>
      </c>
    </row>
    <row r="97" spans="1:7" ht="15.75" thickBot="1" x14ac:dyDescent="0.3">
      <c r="D97" s="7"/>
      <c r="E97" s="28" t="s">
        <v>26</v>
      </c>
      <c r="F97" s="5">
        <f>SUM(F96:F96)</f>
        <v>19320</v>
      </c>
      <c r="G97" s="8">
        <v>10030114830</v>
      </c>
    </row>
    <row r="98" spans="1:7" ht="15.75" thickBot="1" x14ac:dyDescent="0.3">
      <c r="A98" s="4">
        <v>45111</v>
      </c>
      <c r="B98" t="s">
        <v>231</v>
      </c>
      <c r="C98" t="s">
        <v>30</v>
      </c>
      <c r="D98">
        <v>200</v>
      </c>
      <c r="E98" t="s">
        <v>232</v>
      </c>
      <c r="F98" s="1">
        <v>4393</v>
      </c>
    </row>
    <row r="99" spans="1:7" ht="15.75" thickBot="1" x14ac:dyDescent="0.3">
      <c r="D99" s="7"/>
      <c r="E99" s="28" t="s">
        <v>26</v>
      </c>
      <c r="F99" s="5">
        <f>SUM(F98:F98)</f>
        <v>4393</v>
      </c>
      <c r="G99" s="8">
        <v>10030114831</v>
      </c>
    </row>
    <row r="100" spans="1:7" x14ac:dyDescent="0.25">
      <c r="A100" s="4">
        <v>45124</v>
      </c>
      <c r="B100" t="s">
        <v>233</v>
      </c>
      <c r="C100" t="s">
        <v>30</v>
      </c>
      <c r="D100">
        <v>3</v>
      </c>
      <c r="E100" t="s">
        <v>234</v>
      </c>
      <c r="F100" s="1">
        <v>1606</v>
      </c>
    </row>
    <row r="101" spans="1:7" x14ac:dyDescent="0.25">
      <c r="A101" s="4">
        <v>45124</v>
      </c>
      <c r="B101" t="s">
        <v>233</v>
      </c>
      <c r="C101" t="s">
        <v>30</v>
      </c>
      <c r="D101">
        <v>3</v>
      </c>
      <c r="E101" t="s">
        <v>235</v>
      </c>
      <c r="F101" s="1">
        <v>832</v>
      </c>
    </row>
    <row r="102" spans="1:7" x14ac:dyDescent="0.25">
      <c r="A102" s="4">
        <v>45124</v>
      </c>
      <c r="B102" t="s">
        <v>233</v>
      </c>
      <c r="C102" t="s">
        <v>30</v>
      </c>
      <c r="D102">
        <v>3</v>
      </c>
      <c r="E102" t="s">
        <v>236</v>
      </c>
      <c r="F102" s="1">
        <v>1606</v>
      </c>
    </row>
    <row r="103" spans="1:7" x14ac:dyDescent="0.25">
      <c r="A103" s="4">
        <v>45124</v>
      </c>
      <c r="B103" t="s">
        <v>233</v>
      </c>
      <c r="C103" t="s">
        <v>30</v>
      </c>
      <c r="D103">
        <v>2</v>
      </c>
      <c r="E103" t="s">
        <v>237</v>
      </c>
      <c r="F103" s="1">
        <v>803</v>
      </c>
    </row>
    <row r="104" spans="1:7" x14ac:dyDescent="0.25">
      <c r="A104" s="4">
        <v>45124</v>
      </c>
      <c r="B104" t="s">
        <v>233</v>
      </c>
      <c r="C104" t="s">
        <v>30</v>
      </c>
      <c r="D104">
        <v>2</v>
      </c>
      <c r="E104" t="s">
        <v>238</v>
      </c>
      <c r="F104" s="1">
        <v>763</v>
      </c>
    </row>
    <row r="105" spans="1:7" x14ac:dyDescent="0.25">
      <c r="A105" s="4">
        <v>45124</v>
      </c>
      <c r="B105" t="s">
        <v>233</v>
      </c>
      <c r="C105" t="s">
        <v>30</v>
      </c>
      <c r="D105">
        <v>1</v>
      </c>
      <c r="E105" t="s">
        <v>239</v>
      </c>
      <c r="F105" s="1">
        <v>321</v>
      </c>
    </row>
    <row r="106" spans="1:7" x14ac:dyDescent="0.25">
      <c r="A106" s="4">
        <v>45124</v>
      </c>
      <c r="B106" t="s">
        <v>233</v>
      </c>
      <c r="C106" t="s">
        <v>30</v>
      </c>
      <c r="D106">
        <v>1</v>
      </c>
      <c r="E106" t="s">
        <v>240</v>
      </c>
      <c r="F106" s="1">
        <v>803</v>
      </c>
    </row>
    <row r="107" spans="1:7" x14ac:dyDescent="0.25">
      <c r="A107" s="4">
        <v>45124</v>
      </c>
      <c r="B107" t="s">
        <v>233</v>
      </c>
      <c r="C107" t="s">
        <v>30</v>
      </c>
      <c r="D107">
        <v>4</v>
      </c>
      <c r="E107" t="s">
        <v>241</v>
      </c>
      <c r="F107" s="1">
        <v>1526</v>
      </c>
    </row>
    <row r="108" spans="1:7" x14ac:dyDescent="0.25">
      <c r="A108" s="4">
        <v>45124</v>
      </c>
      <c r="B108" t="s">
        <v>233</v>
      </c>
      <c r="C108" t="s">
        <v>30</v>
      </c>
      <c r="D108">
        <v>4</v>
      </c>
      <c r="E108" t="s">
        <v>242</v>
      </c>
      <c r="F108" s="1">
        <v>1526</v>
      </c>
    </row>
    <row r="109" spans="1:7" x14ac:dyDescent="0.25">
      <c r="A109" s="4">
        <v>45124</v>
      </c>
      <c r="B109" t="s">
        <v>233</v>
      </c>
      <c r="C109" t="s">
        <v>30</v>
      </c>
      <c r="D109">
        <v>2</v>
      </c>
      <c r="E109" t="s">
        <v>243</v>
      </c>
      <c r="F109" s="1">
        <v>763</v>
      </c>
    </row>
    <row r="110" spans="1:7" x14ac:dyDescent="0.25">
      <c r="A110" s="4">
        <v>45124</v>
      </c>
      <c r="B110" t="s">
        <v>233</v>
      </c>
      <c r="C110" t="s">
        <v>30</v>
      </c>
      <c r="D110">
        <v>1</v>
      </c>
      <c r="E110" t="s">
        <v>244</v>
      </c>
      <c r="F110" s="1">
        <v>763</v>
      </c>
    </row>
    <row r="111" spans="1:7" x14ac:dyDescent="0.25">
      <c r="A111" s="4">
        <v>45124</v>
      </c>
      <c r="B111" t="s">
        <v>233</v>
      </c>
      <c r="C111" t="s">
        <v>30</v>
      </c>
      <c r="D111">
        <v>3</v>
      </c>
      <c r="E111" t="s">
        <v>245</v>
      </c>
      <c r="F111" s="1">
        <v>1526</v>
      </c>
    </row>
    <row r="112" spans="1:7" ht="15.75" thickBot="1" x14ac:dyDescent="0.3">
      <c r="A112" s="4">
        <v>45124</v>
      </c>
      <c r="B112" t="s">
        <v>233</v>
      </c>
      <c r="C112" t="s">
        <v>30</v>
      </c>
      <c r="D112">
        <v>8</v>
      </c>
      <c r="E112" t="s">
        <v>246</v>
      </c>
      <c r="F112" s="1">
        <v>1663</v>
      </c>
    </row>
    <row r="113" spans="1:8" ht="15.75" thickBot="1" x14ac:dyDescent="0.3">
      <c r="C113" t="s">
        <v>281</v>
      </c>
      <c r="D113" s="7"/>
      <c r="E113" s="28" t="s">
        <v>26</v>
      </c>
      <c r="F113" s="5">
        <f>SUM(F100:F112)</f>
        <v>14501</v>
      </c>
      <c r="G113" s="8">
        <v>10030114832</v>
      </c>
    </row>
    <row r="114" spans="1:8" ht="15.75" thickBot="1" x14ac:dyDescent="0.3">
      <c r="A114" s="4">
        <v>45142</v>
      </c>
      <c r="B114" t="s">
        <v>280</v>
      </c>
      <c r="C114" t="s">
        <v>281</v>
      </c>
      <c r="D114">
        <v>100</v>
      </c>
      <c r="E114" t="s">
        <v>282</v>
      </c>
      <c r="F114" s="1">
        <v>7220</v>
      </c>
    </row>
    <row r="115" spans="1:8" ht="15.75" thickBot="1" x14ac:dyDescent="0.3">
      <c r="D115" s="7"/>
      <c r="E115" s="28" t="s">
        <v>26</v>
      </c>
      <c r="F115" s="5">
        <f>SUM(F114:F114)</f>
        <v>7220</v>
      </c>
      <c r="G115" s="8">
        <v>10030114833</v>
      </c>
    </row>
    <row r="116" spans="1:8" ht="15.75" thickBot="1" x14ac:dyDescent="0.3">
      <c r="A116" s="4">
        <v>45142</v>
      </c>
      <c r="B116" t="s">
        <v>280</v>
      </c>
      <c r="C116" t="s">
        <v>281</v>
      </c>
      <c r="D116">
        <v>100</v>
      </c>
      <c r="E116" t="s">
        <v>282</v>
      </c>
      <c r="F116" s="1">
        <v>7220</v>
      </c>
    </row>
    <row r="117" spans="1:8" ht="15.75" thickBot="1" x14ac:dyDescent="0.3">
      <c r="D117" s="7"/>
      <c r="E117" s="28" t="s">
        <v>26</v>
      </c>
      <c r="F117" s="5">
        <f>SUM(F116:F116)</f>
        <v>7220</v>
      </c>
      <c r="G117" s="8">
        <v>10030114834</v>
      </c>
    </row>
    <row r="118" spans="1:8" ht="15.75" thickBot="1" x14ac:dyDescent="0.3">
      <c r="A118" s="4">
        <v>45142</v>
      </c>
      <c r="B118" t="s">
        <v>283</v>
      </c>
      <c r="C118" t="s">
        <v>36</v>
      </c>
      <c r="D118">
        <v>100</v>
      </c>
      <c r="E118" t="s">
        <v>284</v>
      </c>
      <c r="F118" s="1">
        <v>0</v>
      </c>
    </row>
    <row r="119" spans="1:8" ht="15.75" thickBot="1" x14ac:dyDescent="0.3">
      <c r="D119" s="71"/>
      <c r="E119" s="28" t="s">
        <v>26</v>
      </c>
      <c r="F119" s="5">
        <f>SUM(F118:F118)</f>
        <v>0</v>
      </c>
      <c r="G119" s="28">
        <v>10030114835</v>
      </c>
      <c r="H119" s="28" t="s">
        <v>249</v>
      </c>
    </row>
    <row r="120" spans="1:8" x14ac:dyDescent="0.25">
      <c r="A120" s="4">
        <v>45142</v>
      </c>
      <c r="B120" t="s">
        <v>96</v>
      </c>
      <c r="C120" t="s">
        <v>30</v>
      </c>
      <c r="D120">
        <v>100</v>
      </c>
      <c r="E120" t="s">
        <v>62</v>
      </c>
      <c r="F120" s="1">
        <v>2713</v>
      </c>
    </row>
    <row r="121" spans="1:8" x14ac:dyDescent="0.25">
      <c r="A121" s="4">
        <v>45142</v>
      </c>
      <c r="B121" t="s">
        <v>96</v>
      </c>
      <c r="C121" t="s">
        <v>30</v>
      </c>
      <c r="D121">
        <v>100</v>
      </c>
      <c r="E121" t="s">
        <v>62</v>
      </c>
      <c r="F121" s="1">
        <v>2713</v>
      </c>
    </row>
    <row r="122" spans="1:8" x14ac:dyDescent="0.25">
      <c r="A122" s="4">
        <v>45142</v>
      </c>
      <c r="B122" t="s">
        <v>96</v>
      </c>
      <c r="C122" t="s">
        <v>30</v>
      </c>
      <c r="D122">
        <v>100</v>
      </c>
      <c r="E122" t="s">
        <v>62</v>
      </c>
      <c r="F122" s="1">
        <v>2713</v>
      </c>
    </row>
    <row r="123" spans="1:8" x14ac:dyDescent="0.25">
      <c r="A123" s="4">
        <v>45142</v>
      </c>
      <c r="B123" t="s">
        <v>96</v>
      </c>
      <c r="C123" t="s">
        <v>30</v>
      </c>
      <c r="E123" t="s">
        <v>201</v>
      </c>
      <c r="F123" s="1">
        <f>SUM(F120:F122)</f>
        <v>8139</v>
      </c>
    </row>
    <row r="124" spans="1:8" ht="15.75" thickBot="1" x14ac:dyDescent="0.3">
      <c r="A124" s="4">
        <v>45142</v>
      </c>
      <c r="B124" t="s">
        <v>96</v>
      </c>
      <c r="C124" t="s">
        <v>30</v>
      </c>
      <c r="E124" t="s">
        <v>289</v>
      </c>
      <c r="F124" s="1">
        <v>1629</v>
      </c>
    </row>
    <row r="125" spans="1:8" ht="15.75" thickBot="1" x14ac:dyDescent="0.3">
      <c r="D125" s="71"/>
      <c r="E125" s="28" t="s">
        <v>26</v>
      </c>
      <c r="F125" s="5">
        <f>F123-F124</f>
        <v>6510</v>
      </c>
      <c r="G125" s="28">
        <v>10030114836</v>
      </c>
      <c r="H125" s="28" t="s">
        <v>249</v>
      </c>
    </row>
    <row r="126" spans="1:8" x14ac:dyDescent="0.25">
      <c r="A126" s="4">
        <v>45154</v>
      </c>
      <c r="B126" t="s">
        <v>313</v>
      </c>
      <c r="C126" t="s">
        <v>30</v>
      </c>
      <c r="D126">
        <v>50</v>
      </c>
      <c r="E126" t="s">
        <v>314</v>
      </c>
      <c r="F126" s="1">
        <v>64515</v>
      </c>
    </row>
    <row r="127" spans="1:8" ht="15.75" thickBot="1" x14ac:dyDescent="0.3">
      <c r="A127" s="4">
        <v>45154</v>
      </c>
      <c r="B127" t="s">
        <v>313</v>
      </c>
      <c r="C127" t="s">
        <v>30</v>
      </c>
      <c r="D127">
        <v>35</v>
      </c>
      <c r="E127" t="s">
        <v>315</v>
      </c>
      <c r="F127" s="1">
        <v>46451</v>
      </c>
    </row>
    <row r="128" spans="1:8" ht="15.75" thickBot="1" x14ac:dyDescent="0.3">
      <c r="D128" s="71"/>
      <c r="E128" s="28" t="s">
        <v>26</v>
      </c>
      <c r="F128" s="5">
        <f>SUM(F126:F127)</f>
        <v>110966</v>
      </c>
      <c r="G128" s="28" t="s">
        <v>316</v>
      </c>
      <c r="H128" s="28" t="s">
        <v>249</v>
      </c>
    </row>
    <row r="129" spans="1:8" ht="15.75" thickBot="1" x14ac:dyDescent="0.3">
      <c r="A129" s="4">
        <v>45154</v>
      </c>
      <c r="B129" t="s">
        <v>317</v>
      </c>
      <c r="C129" t="s">
        <v>30</v>
      </c>
      <c r="D129">
        <v>1000</v>
      </c>
      <c r="E129" t="s">
        <v>318</v>
      </c>
      <c r="F129" s="1">
        <v>43303</v>
      </c>
    </row>
    <row r="130" spans="1:8" ht="15.75" thickBot="1" x14ac:dyDescent="0.3">
      <c r="D130" s="71"/>
      <c r="E130" s="28" t="s">
        <v>26</v>
      </c>
      <c r="F130" s="5">
        <f>SUM(F129:F129)</f>
        <v>43303</v>
      </c>
      <c r="G130" s="28" t="s">
        <v>319</v>
      </c>
      <c r="H130" s="28" t="s">
        <v>249</v>
      </c>
    </row>
    <row r="131" spans="1:8" x14ac:dyDescent="0.25">
      <c r="A131" s="4">
        <v>45154</v>
      </c>
      <c r="B131" t="s">
        <v>320</v>
      </c>
      <c r="D131">
        <v>1000</v>
      </c>
      <c r="E131" t="s">
        <v>321</v>
      </c>
      <c r="F131" s="1">
        <v>42849</v>
      </c>
    </row>
    <row r="132" spans="1:8" x14ac:dyDescent="0.25">
      <c r="A132" s="4">
        <v>45154</v>
      </c>
      <c r="B132" t="s">
        <v>320</v>
      </c>
      <c r="D132">
        <v>2000</v>
      </c>
      <c r="E132" t="s">
        <v>321</v>
      </c>
      <c r="F132" s="1">
        <v>85698</v>
      </c>
    </row>
    <row r="133" spans="1:8" ht="15.75" thickBot="1" x14ac:dyDescent="0.3">
      <c r="A133" s="4">
        <v>45154</v>
      </c>
      <c r="B133" t="s">
        <v>320</v>
      </c>
      <c r="D133">
        <v>3000</v>
      </c>
      <c r="E133" t="s">
        <v>321</v>
      </c>
      <c r="F133" s="1">
        <v>127526</v>
      </c>
    </row>
    <row r="134" spans="1:8" ht="15.75" thickBot="1" x14ac:dyDescent="0.3">
      <c r="D134" s="71"/>
      <c r="E134" s="28" t="s">
        <v>26</v>
      </c>
      <c r="F134" s="5">
        <f>SUM(F131:F133)</f>
        <v>256073</v>
      </c>
      <c r="G134" s="28" t="s">
        <v>322</v>
      </c>
      <c r="H134" s="28" t="s">
        <v>249</v>
      </c>
    </row>
    <row r="135" spans="1:8" x14ac:dyDescent="0.25">
      <c r="A135" s="4">
        <v>45154</v>
      </c>
      <c r="B135" t="s">
        <v>323</v>
      </c>
      <c r="C135" t="s">
        <v>30</v>
      </c>
      <c r="D135">
        <v>50</v>
      </c>
      <c r="E135" t="s">
        <v>324</v>
      </c>
      <c r="F135" s="1">
        <v>9016</v>
      </c>
    </row>
    <row r="136" spans="1:8" ht="15.75" thickBot="1" x14ac:dyDescent="0.3">
      <c r="A136" s="4">
        <v>45154</v>
      </c>
      <c r="B136" t="s">
        <v>323</v>
      </c>
      <c r="C136" t="s">
        <v>30</v>
      </c>
      <c r="D136">
        <v>50</v>
      </c>
      <c r="E136" t="s">
        <v>325</v>
      </c>
      <c r="F136" s="1">
        <v>4714</v>
      </c>
    </row>
    <row r="137" spans="1:8" ht="15.75" thickBot="1" x14ac:dyDescent="0.3">
      <c r="D137" s="71"/>
      <c r="E137" s="28" t="s">
        <v>26</v>
      </c>
      <c r="F137" s="5">
        <f>SUM(F135:F136)</f>
        <v>13730</v>
      </c>
      <c r="G137" s="28" t="s">
        <v>326</v>
      </c>
      <c r="H137" s="28" t="s">
        <v>249</v>
      </c>
    </row>
    <row r="138" spans="1:8" x14ac:dyDescent="0.25">
      <c r="A138" s="4">
        <v>45154</v>
      </c>
      <c r="B138" t="s">
        <v>327</v>
      </c>
      <c r="C138" t="s">
        <v>30</v>
      </c>
      <c r="D138">
        <v>2</v>
      </c>
      <c r="E138" t="s">
        <v>328</v>
      </c>
      <c r="F138" s="1">
        <v>49499</v>
      </c>
    </row>
    <row r="139" spans="1:8" ht="15.75" thickBot="1" x14ac:dyDescent="0.3">
      <c r="A139" s="4">
        <v>45154</v>
      </c>
      <c r="B139" t="s">
        <v>327</v>
      </c>
      <c r="C139" t="s">
        <v>30</v>
      </c>
      <c r="D139">
        <v>2</v>
      </c>
      <c r="E139" t="s">
        <v>329</v>
      </c>
      <c r="F139" s="1">
        <v>26169</v>
      </c>
    </row>
    <row r="140" spans="1:8" ht="15.75" thickBot="1" x14ac:dyDescent="0.3">
      <c r="D140" s="71"/>
      <c r="E140" s="28" t="s">
        <v>26</v>
      </c>
      <c r="F140" s="5">
        <f>SUM(F138:F139)</f>
        <v>75668</v>
      </c>
      <c r="G140" s="28" t="s">
        <v>330</v>
      </c>
      <c r="H140" s="28" t="s">
        <v>249</v>
      </c>
    </row>
    <row r="141" spans="1:8" x14ac:dyDescent="0.25">
      <c r="A141" s="4">
        <v>45154</v>
      </c>
      <c r="B141" t="s">
        <v>331</v>
      </c>
      <c r="C141" t="s">
        <v>30</v>
      </c>
      <c r="D141">
        <v>500</v>
      </c>
      <c r="E141" t="s">
        <v>332</v>
      </c>
      <c r="F141" s="1">
        <v>17210</v>
      </c>
    </row>
    <row r="142" spans="1:8" x14ac:dyDescent="0.25">
      <c r="A142" s="4">
        <v>45154</v>
      </c>
      <c r="B142" t="s">
        <v>331</v>
      </c>
      <c r="C142" t="s">
        <v>30</v>
      </c>
      <c r="D142">
        <v>500</v>
      </c>
      <c r="E142" t="s">
        <v>333</v>
      </c>
      <c r="F142" s="1">
        <v>25544</v>
      </c>
    </row>
    <row r="143" spans="1:8" ht="15.75" thickBot="1" x14ac:dyDescent="0.3">
      <c r="A143" s="4">
        <v>45154</v>
      </c>
      <c r="B143" t="s">
        <v>331</v>
      </c>
      <c r="C143" t="s">
        <v>30</v>
      </c>
      <c r="D143">
        <v>500</v>
      </c>
      <c r="E143" t="s">
        <v>334</v>
      </c>
      <c r="F143" s="1">
        <v>14338</v>
      </c>
    </row>
    <row r="144" spans="1:8" ht="15.75" thickBot="1" x14ac:dyDescent="0.3">
      <c r="D144" s="71"/>
      <c r="E144" s="28" t="s">
        <v>26</v>
      </c>
      <c r="F144" s="5">
        <f>SUM(F141:F143)</f>
        <v>57092</v>
      </c>
      <c r="G144" s="28" t="s">
        <v>335</v>
      </c>
      <c r="H144" s="28" t="s">
        <v>249</v>
      </c>
    </row>
    <row r="145" spans="1:8" ht="15.75" thickBot="1" x14ac:dyDescent="0.3">
      <c r="A145" s="4">
        <v>45154</v>
      </c>
      <c r="B145" t="s">
        <v>336</v>
      </c>
      <c r="C145" t="s">
        <v>30</v>
      </c>
      <c r="D145">
        <v>200</v>
      </c>
      <c r="E145" t="s">
        <v>337</v>
      </c>
      <c r="F145" s="1">
        <v>48774</v>
      </c>
    </row>
    <row r="146" spans="1:8" ht="15.75" thickBot="1" x14ac:dyDescent="0.3">
      <c r="D146" s="71"/>
      <c r="E146" s="28" t="s">
        <v>26</v>
      </c>
      <c r="F146" s="5">
        <f>SUM(F145:F145)</f>
        <v>48774</v>
      </c>
      <c r="G146" s="28" t="s">
        <v>338</v>
      </c>
      <c r="H146" s="28" t="s">
        <v>249</v>
      </c>
    </row>
  </sheetData>
  <autoFilter ref="A1:G45" xr:uid="{C58C5AD4-12AB-44FE-8893-84399FA12A6C}">
    <filterColumn colId="1">
      <filters>
        <filter val="Andrea FW"/>
      </filters>
    </filterColumn>
  </autoFilter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6BD223-D5CB-49B7-8641-02486AF373BA}">
  <sheetPr codeName="Hoja7"/>
  <dimension ref="A1:D13"/>
  <sheetViews>
    <sheetView workbookViewId="0">
      <pane ySplit="1" topLeftCell="A2" activePane="bottomLeft" state="frozen"/>
      <selection pane="bottomLeft" activeCell="B12" sqref="B12"/>
    </sheetView>
  </sheetViews>
  <sheetFormatPr baseColWidth="10" defaultRowHeight="15" x14ac:dyDescent="0.25"/>
  <cols>
    <col min="1" max="1" width="27.42578125" bestFit="1" customWidth="1"/>
    <col min="2" max="4" width="12.85546875" customWidth="1"/>
  </cols>
  <sheetData>
    <row r="1" spans="1:4" s="33" customFormat="1" ht="15.75" x14ac:dyDescent="0.25">
      <c r="A1" s="33" t="s">
        <v>96</v>
      </c>
      <c r="B1" s="33" t="s">
        <v>97</v>
      </c>
      <c r="C1" s="33" t="s">
        <v>3</v>
      </c>
      <c r="D1" s="33" t="s">
        <v>98</v>
      </c>
    </row>
    <row r="2" spans="1:4" x14ac:dyDescent="0.25">
      <c r="A2" t="s">
        <v>117</v>
      </c>
      <c r="B2" t="s">
        <v>102</v>
      </c>
      <c r="C2" t="s">
        <v>30</v>
      </c>
      <c r="D2" t="s">
        <v>119</v>
      </c>
    </row>
    <row r="3" spans="1:4" x14ac:dyDescent="0.25">
      <c r="A3" t="s">
        <v>120</v>
      </c>
      <c r="B3" t="s">
        <v>102</v>
      </c>
      <c r="C3" t="s">
        <v>30</v>
      </c>
      <c r="D3" t="s">
        <v>122</v>
      </c>
    </row>
    <row r="4" spans="1:4" x14ac:dyDescent="0.25">
      <c r="A4" t="s">
        <v>123</v>
      </c>
      <c r="B4" t="s">
        <v>102</v>
      </c>
      <c r="C4" t="s">
        <v>30</v>
      </c>
      <c r="D4" t="s">
        <v>124</v>
      </c>
    </row>
    <row r="5" spans="1:4" x14ac:dyDescent="0.25">
      <c r="A5" t="s">
        <v>125</v>
      </c>
      <c r="B5" t="s">
        <v>102</v>
      </c>
      <c r="C5" t="s">
        <v>30</v>
      </c>
      <c r="D5" t="s">
        <v>127</v>
      </c>
    </row>
    <row r="6" spans="1:4" x14ac:dyDescent="0.25">
      <c r="A6" t="s">
        <v>128</v>
      </c>
      <c r="B6" t="s">
        <v>102</v>
      </c>
      <c r="C6" t="s">
        <v>30</v>
      </c>
      <c r="D6" t="s">
        <v>130</v>
      </c>
    </row>
    <row r="7" spans="1:4" x14ac:dyDescent="0.25">
      <c r="A7" t="s">
        <v>131</v>
      </c>
      <c r="B7" t="s">
        <v>102</v>
      </c>
      <c r="C7" t="s">
        <v>30</v>
      </c>
      <c r="D7" t="s">
        <v>133</v>
      </c>
    </row>
    <row r="8" spans="1:4" x14ac:dyDescent="0.25">
      <c r="A8" t="s">
        <v>134</v>
      </c>
      <c r="B8" t="s">
        <v>136</v>
      </c>
      <c r="C8" t="s">
        <v>30</v>
      </c>
      <c r="D8" t="s">
        <v>137</v>
      </c>
    </row>
    <row r="9" spans="1:4" x14ac:dyDescent="0.25">
      <c r="A9" t="s">
        <v>138</v>
      </c>
      <c r="B9" t="s">
        <v>102</v>
      </c>
      <c r="C9" t="s">
        <v>30</v>
      </c>
      <c r="D9" t="s">
        <v>140</v>
      </c>
    </row>
    <row r="10" spans="1:4" x14ac:dyDescent="0.25">
      <c r="A10" t="s">
        <v>141</v>
      </c>
      <c r="B10" t="s">
        <v>102</v>
      </c>
      <c r="C10" t="s">
        <v>30</v>
      </c>
      <c r="D10" t="s">
        <v>143</v>
      </c>
    </row>
    <row r="11" spans="1:4" x14ac:dyDescent="0.25">
      <c r="A11" t="s">
        <v>179</v>
      </c>
      <c r="B11" t="s">
        <v>180</v>
      </c>
      <c r="C11" t="s">
        <v>30</v>
      </c>
      <c r="D11" t="s">
        <v>181</v>
      </c>
    </row>
    <row r="12" spans="1:4" x14ac:dyDescent="0.25">
      <c r="A12" t="s">
        <v>280</v>
      </c>
      <c r="B12" t="s">
        <v>102</v>
      </c>
      <c r="C12" t="s">
        <v>281</v>
      </c>
      <c r="D12" t="s">
        <v>102</v>
      </c>
    </row>
    <row r="13" spans="1:4" x14ac:dyDescent="0.25">
      <c r="A13" t="s">
        <v>283</v>
      </c>
      <c r="B13" t="s">
        <v>285</v>
      </c>
      <c r="C13" t="s">
        <v>36</v>
      </c>
      <c r="D13" t="s">
        <v>98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A967F-F2D3-49F2-BCF8-A609CF5FAEC2}">
  <sheetPr codeName="Hoja3"/>
  <dimension ref="A1:I44"/>
  <sheetViews>
    <sheetView showGridLines="0" showRowColHeaders="0" showRuler="0" view="pageLayout" topLeftCell="A15" zoomScale="90" zoomScaleNormal="100" zoomScalePageLayoutView="90" workbookViewId="0">
      <selection activeCell="B30" sqref="B30"/>
    </sheetView>
  </sheetViews>
  <sheetFormatPr baseColWidth="10" defaultRowHeight="15" x14ac:dyDescent="0.25"/>
  <cols>
    <col min="1" max="1" width="8.5703125" customWidth="1"/>
    <col min="2" max="2" width="65" customWidth="1"/>
    <col min="3" max="4" width="0" hidden="1" customWidth="1"/>
    <col min="5" max="5" width="7.28515625" hidden="1" customWidth="1"/>
    <col min="6" max="6" width="15" hidden="1" customWidth="1"/>
    <col min="7" max="7" width="14.28515625" customWidth="1"/>
  </cols>
  <sheetData>
    <row r="1" spans="1:9" x14ac:dyDescent="0.25">
      <c r="A1" s="17"/>
      <c r="B1" s="18"/>
      <c r="C1" s="18"/>
      <c r="D1" s="18"/>
      <c r="E1" s="18"/>
      <c r="F1" s="18"/>
      <c r="G1" s="19"/>
    </row>
    <row r="2" spans="1:9" x14ac:dyDescent="0.25">
      <c r="A2" s="20"/>
      <c r="B2" s="21"/>
      <c r="C2" s="21"/>
      <c r="D2" s="21"/>
      <c r="E2" s="21"/>
      <c r="F2" s="21"/>
      <c r="G2" s="22"/>
    </row>
    <row r="3" spans="1:9" ht="15.75" x14ac:dyDescent="0.25">
      <c r="A3" s="20"/>
      <c r="B3" s="21"/>
      <c r="C3" s="21"/>
      <c r="D3" s="21"/>
      <c r="E3" s="21"/>
      <c r="F3" s="23"/>
      <c r="G3" s="24" t="s">
        <v>338</v>
      </c>
    </row>
    <row r="4" spans="1:9" x14ac:dyDescent="0.25">
      <c r="A4" s="20"/>
      <c r="B4" s="21"/>
      <c r="C4" s="21"/>
      <c r="D4" s="21"/>
      <c r="E4" s="21"/>
      <c r="F4" s="21"/>
      <c r="G4" s="22"/>
    </row>
    <row r="5" spans="1:9" x14ac:dyDescent="0.25">
      <c r="A5" s="20"/>
      <c r="B5" s="21"/>
      <c r="C5" s="21"/>
      <c r="D5" s="21"/>
      <c r="E5" s="21"/>
      <c r="F5" s="21"/>
      <c r="G5" s="22"/>
    </row>
    <row r="6" spans="1:9" x14ac:dyDescent="0.25">
      <c r="A6" s="20"/>
      <c r="B6" s="21"/>
      <c r="C6" s="21"/>
      <c r="D6" s="21"/>
      <c r="E6" s="21"/>
      <c r="F6" s="21"/>
      <c r="G6" s="22"/>
    </row>
    <row r="7" spans="1:9" x14ac:dyDescent="0.25">
      <c r="A7" s="20"/>
      <c r="B7" s="21"/>
      <c r="C7" s="21"/>
      <c r="D7" s="21"/>
      <c r="E7" s="21"/>
      <c r="F7" s="21"/>
      <c r="G7" s="22"/>
    </row>
    <row r="8" spans="1:9" ht="15.75" x14ac:dyDescent="0.25">
      <c r="A8" s="20"/>
      <c r="B8" s="21"/>
      <c r="C8" s="21"/>
      <c r="D8" s="21"/>
      <c r="E8" s="21"/>
      <c r="F8" s="23"/>
      <c r="G8" s="22"/>
    </row>
    <row r="9" spans="1:9" x14ac:dyDescent="0.25">
      <c r="A9" s="20"/>
      <c r="B9" s="21"/>
      <c r="C9" s="21"/>
      <c r="D9" s="21"/>
      <c r="E9" s="21"/>
      <c r="F9" s="21"/>
      <c r="G9" s="22"/>
    </row>
    <row r="10" spans="1:9" x14ac:dyDescent="0.25">
      <c r="A10" s="20"/>
      <c r="B10" s="21"/>
      <c r="C10" s="21"/>
      <c r="D10" s="21"/>
      <c r="E10" s="21"/>
      <c r="F10" s="21"/>
      <c r="G10" s="22"/>
    </row>
    <row r="11" spans="1:9" ht="15.75" thickBot="1" x14ac:dyDescent="0.3">
      <c r="A11" s="25"/>
      <c r="B11" s="26"/>
      <c r="C11" s="26"/>
      <c r="D11" s="26"/>
      <c r="E11" s="26"/>
      <c r="F11" s="26"/>
      <c r="G11" s="27"/>
      <c r="I11" s="41"/>
    </row>
    <row r="12" spans="1:9" ht="15.75" thickBot="1" x14ac:dyDescent="0.3"/>
    <row r="13" spans="1:9" ht="25.5" customHeight="1" x14ac:dyDescent="0.25">
      <c r="A13" s="56" t="s">
        <v>185</v>
      </c>
      <c r="B13" s="9" t="s">
        <v>336</v>
      </c>
      <c r="C13" s="9"/>
      <c r="D13" s="9"/>
      <c r="E13" s="9"/>
      <c r="F13" s="9"/>
      <c r="G13" s="10"/>
    </row>
    <row r="14" spans="1:9" ht="9" customHeight="1" x14ac:dyDescent="0.25">
      <c r="A14" s="11"/>
      <c r="B14" s="12"/>
      <c r="C14" s="12"/>
      <c r="D14" s="12"/>
      <c r="E14" s="12"/>
      <c r="F14" s="12"/>
      <c r="G14" s="13"/>
    </row>
    <row r="15" spans="1:9" x14ac:dyDescent="0.25">
      <c r="A15" s="11"/>
      <c r="B15" s="12"/>
      <c r="C15" s="12"/>
      <c r="D15" s="12"/>
      <c r="E15" s="12"/>
      <c r="F15" s="12"/>
      <c r="G15" s="13"/>
    </row>
    <row r="16" spans="1:9" ht="15.75" thickBot="1" x14ac:dyDescent="0.3">
      <c r="A16" s="14"/>
      <c r="B16" s="15"/>
      <c r="C16" s="15"/>
      <c r="D16" s="15"/>
      <c r="E16" s="15"/>
      <c r="F16" s="15"/>
      <c r="G16" s="16"/>
    </row>
    <row r="17" spans="1:7" x14ac:dyDescent="0.25">
      <c r="A17" s="38" t="s">
        <v>46</v>
      </c>
      <c r="B17" s="38" t="s">
        <v>27</v>
      </c>
      <c r="C17" s="39"/>
      <c r="D17" s="39"/>
      <c r="E17" s="39"/>
      <c r="F17" s="40"/>
      <c r="G17" s="42" t="s">
        <v>178</v>
      </c>
    </row>
    <row r="18" spans="1:7" ht="47.25" x14ac:dyDescent="0.25">
      <c r="A18" s="48">
        <v>200</v>
      </c>
      <c r="B18" s="61" t="s">
        <v>341</v>
      </c>
      <c r="C18" s="47"/>
      <c r="D18" s="47"/>
      <c r="E18" s="47"/>
      <c r="F18" s="47"/>
      <c r="G18" s="62">
        <v>48774</v>
      </c>
    </row>
    <row r="19" spans="1:7" s="12" customFormat="1" ht="15.75" x14ac:dyDescent="0.25">
      <c r="A19" s="43">
        <v>200</v>
      </c>
      <c r="B19" s="63" t="s">
        <v>340</v>
      </c>
      <c r="C19" s="50"/>
      <c r="D19" s="50"/>
      <c r="E19" s="50"/>
      <c r="F19" s="50"/>
      <c r="G19" s="59">
        <v>84390</v>
      </c>
    </row>
    <row r="20" spans="1:7" s="12" customFormat="1" ht="15.75" x14ac:dyDescent="0.25">
      <c r="A20" s="43">
        <v>200</v>
      </c>
      <c r="B20" s="63" t="s">
        <v>339</v>
      </c>
      <c r="C20" s="50"/>
      <c r="D20" s="50"/>
      <c r="E20" s="50"/>
      <c r="F20" s="50"/>
      <c r="G20" s="59">
        <v>52500</v>
      </c>
    </row>
    <row r="21" spans="1:7" s="12" customFormat="1" ht="15.75" x14ac:dyDescent="0.25">
      <c r="A21" s="52"/>
      <c r="B21" s="64"/>
      <c r="C21" s="50"/>
      <c r="D21" s="50"/>
      <c r="E21" s="50"/>
      <c r="F21" s="50"/>
      <c r="G21" s="70"/>
    </row>
    <row r="22" spans="1:7" s="12" customFormat="1" ht="15.75" x14ac:dyDescent="0.25">
      <c r="A22" s="43"/>
      <c r="B22" s="72"/>
      <c r="C22" s="55"/>
      <c r="D22" s="55"/>
      <c r="E22" s="55"/>
      <c r="F22" s="55"/>
      <c r="G22" s="73"/>
    </row>
    <row r="23" spans="1:7" s="12" customFormat="1" ht="15.75" x14ac:dyDescent="0.25">
      <c r="A23" s="43"/>
      <c r="B23" s="64"/>
      <c r="C23" s="50"/>
      <c r="D23" s="50"/>
      <c r="E23" s="50"/>
      <c r="F23" s="50"/>
      <c r="G23" s="70"/>
    </row>
    <row r="24" spans="1:7" ht="15.75" x14ac:dyDescent="0.25">
      <c r="A24" s="46"/>
      <c r="B24" s="63"/>
      <c r="C24" s="45"/>
      <c r="D24" s="45"/>
      <c r="E24" s="45"/>
      <c r="F24" s="45"/>
      <c r="G24" s="59"/>
    </row>
    <row r="25" spans="1:7" ht="15.75" x14ac:dyDescent="0.25">
      <c r="A25" s="43"/>
      <c r="B25" s="65"/>
      <c r="C25" s="43"/>
      <c r="D25" s="43"/>
      <c r="E25" s="43"/>
      <c r="F25" s="43"/>
      <c r="G25" s="60"/>
    </row>
    <row r="26" spans="1:7" ht="15.75" x14ac:dyDescent="0.25">
      <c r="A26" s="43"/>
      <c r="B26" s="63"/>
      <c r="C26" s="55"/>
      <c r="D26" s="55"/>
      <c r="E26" s="55"/>
      <c r="F26" s="55"/>
      <c r="G26" s="59"/>
    </row>
    <row r="27" spans="1:7" ht="15.75" x14ac:dyDescent="0.25">
      <c r="A27" s="43"/>
      <c r="B27" s="63"/>
      <c r="C27" s="55"/>
      <c r="D27" s="55"/>
      <c r="E27" s="55"/>
      <c r="F27" s="55"/>
      <c r="G27" s="66"/>
    </row>
    <row r="28" spans="1:7" ht="15.75" x14ac:dyDescent="0.25">
      <c r="A28" s="43"/>
      <c r="B28" s="63"/>
      <c r="C28" s="50"/>
      <c r="D28" s="50"/>
      <c r="E28" s="50"/>
      <c r="F28" s="50"/>
      <c r="G28" s="66"/>
    </row>
    <row r="29" spans="1:7" ht="15.75" x14ac:dyDescent="0.25">
      <c r="A29" s="43"/>
      <c r="B29" s="63"/>
      <c r="C29" s="50"/>
      <c r="D29" s="50"/>
      <c r="E29" s="50"/>
      <c r="F29" s="50"/>
      <c r="G29" s="66"/>
    </row>
    <row r="30" spans="1:7" ht="15.75" x14ac:dyDescent="0.25">
      <c r="A30" s="52"/>
      <c r="B30" s="63"/>
      <c r="C30" s="50"/>
      <c r="D30" s="50"/>
      <c r="E30" s="50"/>
      <c r="F30" s="50"/>
      <c r="G30" s="66"/>
    </row>
    <row r="31" spans="1:7" ht="15.75" x14ac:dyDescent="0.25">
      <c r="A31" s="43"/>
      <c r="B31" s="64"/>
      <c r="C31" s="55"/>
      <c r="D31" s="55"/>
      <c r="E31" s="55"/>
      <c r="F31" s="55"/>
      <c r="G31" s="58"/>
    </row>
    <row r="32" spans="1:7" ht="15.75" x14ac:dyDescent="0.25">
      <c r="A32" s="43"/>
      <c r="B32" s="55"/>
      <c r="C32" s="50"/>
      <c r="D32" s="50"/>
      <c r="E32" s="50"/>
      <c r="F32" s="50"/>
      <c r="G32" s="51"/>
    </row>
    <row r="33" spans="1:7" ht="15.75" x14ac:dyDescent="0.25">
      <c r="A33" s="43"/>
      <c r="B33" s="55"/>
      <c r="C33" s="50"/>
      <c r="D33" s="50"/>
      <c r="E33" s="50"/>
      <c r="F33" s="50"/>
      <c r="G33" s="51"/>
    </row>
    <row r="34" spans="1:7" ht="15.75" x14ac:dyDescent="0.25">
      <c r="A34" s="48"/>
      <c r="B34" s="67"/>
      <c r="C34" s="50"/>
      <c r="D34" s="50"/>
      <c r="E34" s="50"/>
      <c r="F34" s="50"/>
      <c r="G34" s="49"/>
    </row>
    <row r="35" spans="1:7" ht="15.75" x14ac:dyDescent="0.25">
      <c r="A35" s="52"/>
      <c r="B35" s="47"/>
      <c r="C35" s="50"/>
      <c r="D35" s="50"/>
      <c r="E35" s="50"/>
      <c r="F35" s="50"/>
      <c r="G35" s="49"/>
    </row>
    <row r="36" spans="1:7" ht="15.75" x14ac:dyDescent="0.25">
      <c r="A36" s="48"/>
      <c r="B36" s="47"/>
      <c r="C36" s="47"/>
      <c r="D36" s="47"/>
      <c r="E36" s="47"/>
      <c r="F36" s="47"/>
      <c r="G36" s="49"/>
    </row>
    <row r="37" spans="1:7" ht="15.75" x14ac:dyDescent="0.25">
      <c r="A37" s="48"/>
      <c r="B37" s="47"/>
      <c r="C37" s="50"/>
      <c r="D37" s="50"/>
      <c r="E37" s="50"/>
      <c r="F37" s="50"/>
      <c r="G37" s="49"/>
    </row>
    <row r="38" spans="1:7" ht="15.75" x14ac:dyDescent="0.25">
      <c r="A38" s="46"/>
      <c r="B38" s="44"/>
      <c r="C38" s="45"/>
      <c r="D38" s="45"/>
      <c r="E38" s="45"/>
      <c r="F38" s="45"/>
      <c r="G38" s="49"/>
    </row>
    <row r="39" spans="1:7" ht="15.75" x14ac:dyDescent="0.25">
      <c r="A39" s="43"/>
      <c r="B39" s="53"/>
      <c r="C39" s="43"/>
      <c r="D39" s="43"/>
      <c r="E39" s="43"/>
      <c r="F39" s="43"/>
      <c r="G39" s="49"/>
    </row>
    <row r="40" spans="1:7" ht="15.75" x14ac:dyDescent="0.25">
      <c r="A40" s="48"/>
      <c r="B40" s="54"/>
      <c r="C40" s="47"/>
      <c r="D40" s="47"/>
      <c r="E40" s="47"/>
      <c r="F40" s="47"/>
      <c r="G40" s="49"/>
    </row>
    <row r="41" spans="1:7" ht="15.75" x14ac:dyDescent="0.25">
      <c r="A41" s="48"/>
      <c r="B41" s="47"/>
      <c r="C41" s="47"/>
      <c r="D41" s="47"/>
      <c r="E41" s="47"/>
      <c r="F41" s="47"/>
      <c r="G41" s="49"/>
    </row>
    <row r="42" spans="1:7" ht="15.75" x14ac:dyDescent="0.25">
      <c r="A42" s="48"/>
      <c r="B42" s="47"/>
      <c r="C42" s="50"/>
      <c r="D42" s="50"/>
      <c r="E42" s="50"/>
      <c r="F42" s="50"/>
      <c r="G42" s="49"/>
    </row>
    <row r="43" spans="1:7" ht="15.75" x14ac:dyDescent="0.25">
      <c r="A43" s="48"/>
      <c r="B43" s="47"/>
      <c r="C43" s="50"/>
      <c r="D43" s="50"/>
      <c r="E43" s="50"/>
      <c r="F43" s="50"/>
      <c r="G43" s="49"/>
    </row>
    <row r="44" spans="1:7" ht="15.75" x14ac:dyDescent="0.25">
      <c r="A44" s="52"/>
      <c r="B44" s="47"/>
      <c r="C44" s="50"/>
      <c r="D44" s="50"/>
      <c r="E44" s="50"/>
      <c r="F44" s="50"/>
      <c r="G44" s="49"/>
    </row>
  </sheetData>
  <phoneticPr fontId="8" type="noConversion"/>
  <pageMargins left="0.23622047244094491" right="0.23622047244094491" top="0.39370078740157483" bottom="0.39370078740157483" header="0" footer="0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DD">
          <controlPr defaultSize="0" autoFill="0" autoLine="0" r:id="rId5">
            <anchor moveWithCells="1">
              <from>
                <xdr:col>6</xdr:col>
                <xdr:colOff>0</xdr:colOff>
                <xdr:row>7</xdr:row>
                <xdr:rowOff>161925</xdr:rowOff>
              </from>
              <to>
                <xdr:col>6</xdr:col>
                <xdr:colOff>285750</xdr:colOff>
                <xdr:row>9</xdr:row>
                <xdr:rowOff>57150</xdr:rowOff>
              </to>
            </anchor>
          </controlPr>
        </control>
      </mc:Choice>
      <mc:Fallback>
        <control shapeId="1025" r:id="rId4" name="DD"/>
      </mc:Fallback>
    </mc:AlternateContent>
    <mc:AlternateContent xmlns:mc="http://schemas.openxmlformats.org/markup-compatibility/2006">
      <mc:Choice Requires="x14">
        <control shapeId="1026" r:id="rId6" name="MM">
          <controlPr defaultSize="0" autoFill="0" autoLine="0" r:id="rId7">
            <anchor moveWithCells="1">
              <from>
                <xdr:col>6</xdr:col>
                <xdr:colOff>285750</xdr:colOff>
                <xdr:row>7</xdr:row>
                <xdr:rowOff>161925</xdr:rowOff>
              </from>
              <to>
                <xdr:col>6</xdr:col>
                <xdr:colOff>571500</xdr:colOff>
                <xdr:row>9</xdr:row>
                <xdr:rowOff>57150</xdr:rowOff>
              </to>
            </anchor>
          </controlPr>
        </control>
      </mc:Choice>
      <mc:Fallback>
        <control shapeId="1026" r:id="rId6" name="MM"/>
      </mc:Fallback>
    </mc:AlternateContent>
    <mc:AlternateContent xmlns:mc="http://schemas.openxmlformats.org/markup-compatibility/2006">
      <mc:Choice Requires="x14">
        <control shapeId="1027" r:id="rId8" name="AAAA">
          <controlPr defaultSize="0" autoFill="0" autoLine="0" r:id="rId9">
            <anchor moveWithCells="1">
              <from>
                <xdr:col>6</xdr:col>
                <xdr:colOff>628650</xdr:colOff>
                <xdr:row>7</xdr:row>
                <xdr:rowOff>161925</xdr:rowOff>
              </from>
              <to>
                <xdr:col>6</xdr:col>
                <xdr:colOff>914400</xdr:colOff>
                <xdr:row>9</xdr:row>
                <xdr:rowOff>57150</xdr:rowOff>
              </to>
            </anchor>
          </controlPr>
        </control>
      </mc:Choice>
      <mc:Fallback>
        <control shapeId="1027" r:id="rId8" name="AAAA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D9583D-7FCF-45A3-A153-D5A228FB8484}">
  <sheetPr codeName="Hoja8"/>
  <dimension ref="A1:E5"/>
  <sheetViews>
    <sheetView workbookViewId="0">
      <selection activeCell="B5" sqref="B5"/>
    </sheetView>
  </sheetViews>
  <sheetFormatPr baseColWidth="10" defaultRowHeight="15" x14ac:dyDescent="0.25"/>
  <cols>
    <col min="1" max="1" width="23" customWidth="1"/>
    <col min="3" max="3" width="11.5703125" customWidth="1"/>
    <col min="4" max="4" width="25.28515625" bestFit="1" customWidth="1"/>
    <col min="5" max="5" width="16.140625" bestFit="1" customWidth="1"/>
  </cols>
  <sheetData>
    <row r="1" spans="1:5" x14ac:dyDescent="0.25">
      <c r="A1" t="s">
        <v>96</v>
      </c>
      <c r="B1" t="s">
        <v>247</v>
      </c>
      <c r="C1" t="s">
        <v>248</v>
      </c>
      <c r="D1" t="s">
        <v>257</v>
      </c>
      <c r="E1" t="s">
        <v>258</v>
      </c>
    </row>
    <row r="2" spans="1:5" x14ac:dyDescent="0.25">
      <c r="A2" t="s">
        <v>249</v>
      </c>
      <c r="B2" t="s">
        <v>250</v>
      </c>
      <c r="C2">
        <v>332288</v>
      </c>
      <c r="D2" s="36" t="s">
        <v>312</v>
      </c>
      <c r="E2" t="b">
        <v>1</v>
      </c>
    </row>
    <row r="3" spans="1:5" x14ac:dyDescent="0.25">
      <c r="A3" t="s">
        <v>253</v>
      </c>
      <c r="B3" t="s">
        <v>254</v>
      </c>
      <c r="C3">
        <v>123456</v>
      </c>
      <c r="D3" s="36" t="s">
        <v>310</v>
      </c>
      <c r="E3" t="b">
        <v>0</v>
      </c>
    </row>
    <row r="4" spans="1:5" x14ac:dyDescent="0.25">
      <c r="A4" t="s">
        <v>255</v>
      </c>
      <c r="B4" t="s">
        <v>256</v>
      </c>
      <c r="C4" t="s">
        <v>260</v>
      </c>
      <c r="D4" s="36" t="s">
        <v>259</v>
      </c>
      <c r="E4" t="b">
        <v>0</v>
      </c>
    </row>
    <row r="5" spans="1:5" x14ac:dyDescent="0.25">
      <c r="A5" t="s">
        <v>251</v>
      </c>
      <c r="B5" t="s">
        <v>252</v>
      </c>
      <c r="C5">
        <v>123456</v>
      </c>
      <c r="D5" s="36" t="s">
        <v>311</v>
      </c>
      <c r="E5" t="b">
        <v>0</v>
      </c>
    </row>
  </sheetData>
  <hyperlinks>
    <hyperlink ref="D4" r:id="rId1" xr:uid="{2543232F-7BCC-4409-8238-34EFD88F384D}"/>
    <hyperlink ref="D3" r:id="rId2" xr:uid="{24FCA1CA-DDA6-42F0-BD56-09A117976D4F}"/>
    <hyperlink ref="D2" r:id="rId3" xr:uid="{12924DF1-A285-4964-9AFD-79E8764D754C}"/>
    <hyperlink ref="D5" r:id="rId4" xr:uid="{134DD8C2-74FA-4C54-B578-AE5A94F46856}"/>
  </hyperlinks>
  <pageMargins left="0.7" right="0.7" top="0.75" bottom="0.75" header="0.3" footer="0.3"/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Lista de Precios</vt:lpstr>
      <vt:lpstr>Pedidos</vt:lpstr>
      <vt:lpstr>Presupuestos</vt:lpstr>
      <vt:lpstr>Base de datos clientes</vt:lpstr>
      <vt:lpstr>Presupuesto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Ramiro Latigano</dc:creator>
  <cp:lastModifiedBy>Ramiro Latigano</cp:lastModifiedBy>
  <cp:lastPrinted>2023-08-16T19:19:13Z</cp:lastPrinted>
  <dcterms:created xsi:type="dcterms:W3CDTF">2021-06-09T01:39:50Z</dcterms:created>
  <dcterms:modified xsi:type="dcterms:W3CDTF">2024-03-05T13:22:27Z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BCO_ScreenResolution">
    <vt:lpwstr>96 96 1920 1080</vt:lpwstr>
  </property>
</Properties>
</file>